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1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ego\git\FinanceTools\"/>
    </mc:Choice>
  </mc:AlternateContent>
  <xr:revisionPtr revIDLastSave="0" documentId="13_ncr:1_{9F38DDC0-C090-4E56-8C87-E9D3A7E3706E}" xr6:coauthVersionLast="47" xr6:coauthVersionMax="47" xr10:uidLastSave="{00000000-0000-0000-0000-000000000000}"/>
  <bookViews>
    <workbookView xWindow="29715" yWindow="2355" windowWidth="21255" windowHeight="15225" xr2:uid="{3CCECE8A-1D95-4C41-B52A-23F1772B54AF}"/>
  </bookViews>
  <sheets>
    <sheet name="Budget Dashboard" sheetId="2" r:id="rId1"/>
    <sheet name="Income and Expenses" sheetId="1" r:id="rId2"/>
    <sheet name="Calculations" sheetId="3" r:id="rId3"/>
    <sheet name="Transaction Categories" sheetId="6" r:id="rId4"/>
  </sheets>
  <functionGroups builtInGroupCount="19"/>
  <definedNames>
    <definedName name="current_month">IF(LEN(month_val)&gt;1,month_val,"0"&amp;month_val)</definedName>
    <definedName name="current_year">'Budget Dashboard'!$G$5</definedName>
    <definedName name="Expenses">'Transaction Categories'!$A$2:$A$11</definedName>
    <definedName name="ExternalData_1" localSheetId="3">'Transaction Categories'!$A$1:$B$11</definedName>
    <definedName name="ExternalData_2" localSheetId="3">'Transaction Categories'!$A$1:$B$11</definedName>
    <definedName name="ExternalData_3" localSheetId="3">'Transaction Categories'!$A$1:$B$11</definedName>
    <definedName name="Income">'Transaction Categories'!$B$2:$B$11</definedName>
    <definedName name="month_val">MONTH(DATEVALUE('Budget Dashboard'!$F$5 &amp; "1"))</definedName>
    <definedName name="transactions_max_row">MAX(ROW('Income and Expenses'!$A$3:$D$1048576))</definedName>
    <definedName name="transactions_min_row">MIN(ROW('Income and Expenses'!$A$3:$D$1048576))</definedName>
    <definedName name="year_month">current_year&amp;"_"&amp;current_month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2" l="1"/>
  <c r="E22" i="2" s="1"/>
  <c r="B24" i="2"/>
  <c r="C24" i="2" s="1"/>
  <c r="G24" i="2" s="1"/>
  <c r="B23" i="2"/>
  <c r="C23" i="2" s="1"/>
  <c r="E23" i="2" s="1"/>
  <c r="B22" i="2"/>
  <c r="B21" i="2"/>
  <c r="C21" i="2" s="1"/>
  <c r="G21" i="2" s="1"/>
  <c r="B20" i="2"/>
  <c r="C20" i="2" s="1"/>
  <c r="E20" i="2" s="1"/>
  <c r="B19" i="2"/>
  <c r="C19" i="2" s="1"/>
  <c r="G19" i="2" s="1"/>
  <c r="B18" i="2"/>
  <c r="C18" i="2" s="1"/>
  <c r="E18" i="2" s="1"/>
  <c r="B17" i="2"/>
  <c r="C17" i="2" s="1"/>
  <c r="G17" i="2" s="1"/>
  <c r="B16" i="2"/>
  <c r="C16" i="2" s="1"/>
  <c r="E16" i="2" s="1"/>
  <c r="B15" i="2"/>
  <c r="C15" i="2" s="1"/>
  <c r="B11" i="2"/>
  <c r="C11" i="2" s="1"/>
  <c r="B10" i="2"/>
  <c r="C10" i="2" s="1"/>
  <c r="G10" i="2" s="1"/>
  <c r="D25" i="2"/>
  <c r="D12" i="2"/>
  <c r="B7" i="2"/>
  <c r="F22" i="2" l="1"/>
  <c r="G22" i="2"/>
  <c r="D28" i="2"/>
  <c r="C12" i="2"/>
  <c r="E12" i="2" s="1"/>
  <c r="E10" i="2"/>
  <c r="F10" i="2"/>
  <c r="C25" i="2"/>
  <c r="G25" i="2" s="1"/>
  <c r="F16" i="2"/>
  <c r="F18" i="2"/>
  <c r="F20" i="2"/>
  <c r="F23" i="2"/>
  <c r="G16" i="2"/>
  <c r="G18" i="2"/>
  <c r="G20" i="2"/>
  <c r="G23" i="2"/>
  <c r="E17" i="2"/>
  <c r="E21" i="2"/>
  <c r="E24" i="2"/>
  <c r="F11" i="2"/>
  <c r="E15" i="2"/>
  <c r="E19" i="2"/>
  <c r="G11" i="2"/>
  <c r="F15" i="2"/>
  <c r="F17" i="2"/>
  <c r="F19" i="2"/>
  <c r="F21" i="2"/>
  <c r="F24" i="2"/>
  <c r="E11" i="2"/>
  <c r="G15" i="2"/>
  <c r="G12" i="2" l="1"/>
  <c r="F12" i="2"/>
  <c r="C28" i="2"/>
  <c r="G28" i="2" s="1"/>
  <c r="E25" i="2"/>
  <c r="F25" i="2"/>
  <c r="E28" i="2" l="1"/>
  <c r="F2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9C72D8-8CD8-467C-9530-E130709E861A}" name="Categories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2" xr16:uid="{DAB4029A-233C-435A-ACF7-06A8CDB150A1}" name="categories_keywords" type="6" refreshedVersion="0" background="1">
    <textPr prompt="0" sourceFile="C:\Users\diego\git\FinanceTools\categories_keywords.csv">
      <textFields>
        <textField/>
      </textFields>
    </textPr>
  </connection>
  <connection id="3" xr16:uid="{FB5CF5DF-7B2A-4492-8D7D-7AA7E7FE70C1}" name="Categories1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4" xr16:uid="{E9BDF6C7-06B7-4723-988D-93199FD0E5F8}" name="Categories2" type="6" refreshedVersion="8" background="1" saveData="1">
    <textPr prompt="0" sourceFile="C:\Users\diego\git\FinanceTools\Outputs\Categories.csv" tab="0" comma="1">
      <textFields count="2">
        <textField/>
        <textField/>
      </textFields>
    </textPr>
  </connection>
  <connection id="5" xr16:uid="{DD752294-6A05-4460-8F6B-73D5697E698F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</connections>
</file>

<file path=xl/sharedStrings.xml><?xml version="1.0" encoding="utf-8"?>
<sst xmlns="http://schemas.openxmlformats.org/spreadsheetml/2006/main" count="123" uniqueCount="58">
  <si>
    <t>Month</t>
  </si>
  <si>
    <t>Year</t>
  </si>
  <si>
    <t>Income</t>
  </si>
  <si>
    <t>Personal Expenses</t>
  </si>
  <si>
    <t>Groceries</t>
  </si>
  <si>
    <t>Rent and Utilities</t>
  </si>
  <si>
    <t>Restaurants</t>
  </si>
  <si>
    <t>Memberships and Subscriptions</t>
  </si>
  <si>
    <t>Gas</t>
  </si>
  <si>
    <t>Travel Expenses</t>
  </si>
  <si>
    <t>Loan Payments</t>
  </si>
  <si>
    <t>Car Maintainence and Insurance</t>
  </si>
  <si>
    <t>Total</t>
  </si>
  <si>
    <t>Expenses</t>
  </si>
  <si>
    <t>Expected</t>
  </si>
  <si>
    <t>Actual</t>
  </si>
  <si>
    <t>Remaining</t>
  </si>
  <si>
    <t>Excess</t>
  </si>
  <si>
    <t>% Complete</t>
  </si>
  <si>
    <t>Savings</t>
  </si>
  <si>
    <t>Budget Dashboard</t>
  </si>
  <si>
    <r>
      <t xml:space="preserve">Select month and year to view </t>
    </r>
    <r>
      <rPr>
        <i/>
        <sz val="10"/>
        <color theme="3" tint="0.499984740745262"/>
        <rFont val="Calibri"/>
        <family val="2"/>
      </rPr>
      <t>→</t>
    </r>
  </si>
  <si>
    <t>Press to import and process data →</t>
  </si>
  <si>
    <t>Income and Expenses</t>
  </si>
  <si>
    <t>Calculations</t>
  </si>
  <si>
    <t>DATE</t>
  </si>
  <si>
    <t>AMOUNT</t>
  </si>
  <si>
    <t>DESCRIPTION</t>
  </si>
  <si>
    <t>CATEGORY</t>
  </si>
  <si>
    <t>movie club fee</t>
  </si>
  <si>
    <t>HAIRCUT</t>
  </si>
  <si>
    <t>MONTHLY RENT</t>
  </si>
  <si>
    <t>CLOTHES</t>
  </si>
  <si>
    <t>GROCERY STORE</t>
  </si>
  <si>
    <t>Employer DIR DEP</t>
  </si>
  <si>
    <t>MONTHLY DIVIDENDS</t>
  </si>
  <si>
    <t>GYM MEMBERSHIP</t>
  </si>
  <si>
    <t>SUPERMARKET</t>
  </si>
  <si>
    <t>BOOK STORE</t>
  </si>
  <si>
    <t>dental expenses</t>
  </si>
  <si>
    <t>Medical Expenses</t>
  </si>
  <si>
    <t>ITALIAN FOOD</t>
  </si>
  <si>
    <t>AIRLINE FLT</t>
  </si>
  <si>
    <t>USA GASOLINE</t>
  </si>
  <si>
    <t>CASHED CHECK</t>
  </si>
  <si>
    <t>INTEREST PAYMENT</t>
  </si>
  <si>
    <t>FRESH FRUIT</t>
  </si>
  <si>
    <t>CAR MAINTAINENCE FEE</t>
  </si>
  <si>
    <t>INSTITUTION</t>
  </si>
  <si>
    <t>Wells Fargo</t>
  </si>
  <si>
    <t>Individual Contribution HSA</t>
  </si>
  <si>
    <t>Optum</t>
  </si>
  <si>
    <t>Employer Contribution HSA</t>
  </si>
  <si>
    <t>Service Charge</t>
  </si>
  <si>
    <t>Interest Payment</t>
  </si>
  <si>
    <t>November</t>
  </si>
  <si>
    <t>HSA</t>
  </si>
  <si>
    <t>Employment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</si>
</sst>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$&quot;#,##0.00"/>
    <numFmt numFmtId="165" formatCode="&quot;$&quot;#,##0"/>
    <numFmt numFmtId="166" formatCode="yyyy\-mm\-dd;@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0"/>
      <color theme="3" tint="0.499984740745262"/>
      <name val="Calibri"/>
      <family val="2"/>
      <scheme val="minor"/>
    </font>
    <font>
      <i/>
      <sz val="10"/>
      <color theme="3" tint="0.499984740745262"/>
      <name val="Calibri"/>
      <family val="2"/>
    </font>
    <font>
      <sz val="20"/>
      <color theme="0"/>
      <name val="Calibri"/>
      <family val="2"/>
      <scheme val="minor"/>
    </font>
    <font>
      <sz val="15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F"/>
        <bgColor indexed="64"/>
      </patternFill>
    </fill>
  </fills>
  <borders count="20">
    <border>
      <left/>
      <right/>
      <top/>
      <bottom/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0"/>
      </bottom>
      <diagonal/>
    </border>
    <border>
      <left style="thin">
        <color theme="1"/>
      </left>
      <right style="thin">
        <color theme="3" tint="0.749961851863155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1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0"/>
      </top>
      <bottom style="thin">
        <color theme="3" tint="0.749961851863155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horizontal="right"/>
    </xf>
    <xf numFmtId="0" fontId="0" fillId="2" borderId="0" xfId="0" applyFill="1"/>
    <xf numFmtId="0" fontId="4" fillId="4" borderId="1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left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left" vertical="center"/>
    </xf>
    <xf numFmtId="164" fontId="3" fillId="2" borderId="11" xfId="0" applyNumberFormat="1" applyFont="1" applyFill="1" applyBorder="1" applyAlignment="1">
      <alignment horizontal="right" vertical="center"/>
    </xf>
    <xf numFmtId="165" fontId="3" fillId="2" borderId="10" xfId="0" applyNumberFormat="1" applyFont="1" applyFill="1" applyBorder="1" applyAlignment="1">
      <alignment horizontal="right" vertical="center"/>
    </xf>
    <xf numFmtId="165" fontId="3" fillId="2" borderId="11" xfId="0" applyNumberFormat="1" applyFont="1" applyFill="1" applyBorder="1" applyAlignment="1">
      <alignment horizontal="right"/>
    </xf>
    <xf numFmtId="9" fontId="3" fillId="2" borderId="10" xfId="0" applyNumberFormat="1" applyFont="1" applyFill="1" applyBorder="1" applyAlignment="1">
      <alignment horizontal="right" vertical="center"/>
    </xf>
    <xf numFmtId="9" fontId="3" fillId="2" borderId="10" xfId="0" applyNumberFormat="1" applyFont="1" applyFill="1" applyBorder="1"/>
    <xf numFmtId="0" fontId="1" fillId="7" borderId="0" xfId="0" applyFont="1" applyFill="1"/>
    <xf numFmtId="0" fontId="0" fillId="7" borderId="0" xfId="0" applyFill="1"/>
    <xf numFmtId="0" fontId="0" fillId="8" borderId="0" xfId="0" applyFill="1"/>
    <xf numFmtId="0" fontId="4" fillId="3" borderId="12" xfId="0" applyFont="1" applyFill="1" applyBorder="1" applyAlignment="1">
      <alignment horizontal="left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/>
    </xf>
    <xf numFmtId="165" fontId="1" fillId="2" borderId="13" xfId="0" applyNumberFormat="1" applyFont="1" applyFill="1" applyBorder="1" applyAlignment="1">
      <alignment horizontal="right" vertical="center"/>
    </xf>
    <xf numFmtId="165" fontId="2" fillId="2" borderId="13" xfId="0" applyNumberFormat="1" applyFont="1" applyFill="1" applyBorder="1" applyAlignment="1">
      <alignment horizontal="right" vertical="center"/>
    </xf>
    <xf numFmtId="9" fontId="2" fillId="2" borderId="13" xfId="0" applyNumberFormat="1" applyFont="1" applyFill="1" applyBorder="1"/>
    <xf numFmtId="165" fontId="2" fillId="2" borderId="14" xfId="0" applyNumberFormat="1" applyFont="1" applyFill="1" applyBorder="1" applyAlignment="1">
      <alignment horizontal="right"/>
    </xf>
    <xf numFmtId="165" fontId="2" fillId="2" borderId="13" xfId="0" applyNumberFormat="1" applyFont="1" applyFill="1" applyBorder="1" applyAlignment="1">
      <alignment horizontal="right"/>
    </xf>
    <xf numFmtId="165" fontId="2" fillId="2" borderId="15" xfId="0" applyNumberFormat="1" applyFont="1" applyFill="1" applyBorder="1" applyAlignment="1">
      <alignment horizontal="right" vertical="center"/>
    </xf>
    <xf numFmtId="9" fontId="2" fillId="2" borderId="15" xfId="0" applyNumberFormat="1" applyFont="1" applyFill="1" applyBorder="1"/>
    <xf numFmtId="165" fontId="2" fillId="2" borderId="16" xfId="0" applyNumberFormat="1" applyFont="1" applyFill="1" applyBorder="1" applyAlignment="1">
      <alignment horizontal="right"/>
    </xf>
    <xf numFmtId="165" fontId="2" fillId="2" borderId="15" xfId="0" applyNumberFormat="1" applyFont="1" applyFill="1" applyBorder="1" applyAlignment="1">
      <alignment horizontal="right"/>
    </xf>
    <xf numFmtId="165" fontId="3" fillId="2" borderId="10" xfId="0" applyNumberFormat="1" applyFont="1" applyFill="1" applyBorder="1" applyAlignment="1">
      <alignment horizontal="right"/>
    </xf>
    <xf numFmtId="166" fontId="0" fillId="8" borderId="0" xfId="0" applyNumberFormat="1" applyFill="1"/>
    <xf numFmtId="0" fontId="2" fillId="2" borderId="17" xfId="0" applyFont="1" applyFill="1" applyBorder="1" applyAlignment="1">
      <alignment horizontal="left" vertical="center"/>
    </xf>
    <xf numFmtId="165" fontId="1" fillId="2" borderId="18" xfId="0" applyNumberFormat="1" applyFont="1" applyFill="1" applyBorder="1" applyAlignment="1">
      <alignment horizontal="right" vertical="center"/>
    </xf>
    <xf numFmtId="165" fontId="2" fillId="2" borderId="18" xfId="0" applyNumberFormat="1" applyFont="1" applyFill="1" applyBorder="1" applyAlignment="1">
      <alignment horizontal="right" vertical="center"/>
    </xf>
    <xf numFmtId="9" fontId="2" fillId="2" borderId="18" xfId="0" applyNumberFormat="1" applyFont="1" applyFill="1" applyBorder="1" applyAlignment="1">
      <alignment horizontal="right" vertical="center"/>
    </xf>
    <xf numFmtId="164" fontId="2" fillId="2" borderId="19" xfId="0" applyNumberFormat="1" applyFont="1" applyFill="1" applyBorder="1" applyAlignment="1">
      <alignment horizontal="right" vertical="center"/>
    </xf>
    <xf numFmtId="165" fontId="1" fillId="2" borderId="15" xfId="0" applyNumberFormat="1" applyFont="1" applyFill="1" applyBorder="1" applyAlignment="1">
      <alignment horizontal="right" vertical="center"/>
    </xf>
    <xf numFmtId="9" fontId="2" fillId="2" borderId="15" xfId="0" applyNumberFormat="1" applyFont="1" applyFill="1" applyBorder="1" applyAlignment="1">
      <alignment horizontal="right" vertical="center"/>
    </xf>
    <xf numFmtId="164" fontId="2" fillId="2" borderId="16" xfId="0" applyNumberFormat="1" applyFont="1" applyFill="1" applyBorder="1" applyAlignment="1">
      <alignment horizontal="right" vertical="center"/>
    </xf>
    <xf numFmtId="0" fontId="5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7" fillId="2" borderId="0" xfId="0" applyFont="1" applyFill="1" applyAlignment="1">
      <alignment horizontal="right"/>
    </xf>
    <xf numFmtId="0" fontId="4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left"/>
    </xf>
    <xf numFmtId="0" fontId="9" fillId="7" borderId="0" xfId="0" applyFont="1" applyFill="1" applyAlignment="1">
      <alignment horizontal="left" vertical="center"/>
    </xf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  <xf numFmtId="0" fontId="11" fillId="0" borderId="0" xfId="0" applyFont="1" applyFill="1" applyAlignment="1">
      <alignment horizontal="center"/>
    </xf>
  </cellXfs>
  <cellStyles count="1">
    <cellStyle name="Normal" xfId="0" builtinId="0"/>
  </cellStyles>
  <dxfs count="23">
    <dxf>
      <font>
        <b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rgb="FF008000"/>
      </font>
    </dxf>
    <dxf>
      <numFmt numFmtId="164" formatCode="&quot;$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6" tint="-0.24994659260841701"/>
        </patternFill>
      </fill>
    </dxf>
    <dxf>
      <fill>
        <patternFill>
          <bgColor theme="0"/>
        </patternFill>
      </fill>
      <border>
        <vertical/>
        <horizontal/>
      </border>
    </dxf>
  </dxfs>
  <tableStyles count="1" defaultTableStyle="TableStyleMedium2" defaultPivotStyle="PivotStyleLight16">
    <tableStyle name="TableStyleTransaction" pivot="0" count="3" xr9:uid="{4AE6241F-862A-4E4D-8780-BD61E74FC912}">
      <tableStyleElement type="wholeTable" dxfId="22"/>
      <tableStyleElement type="headerRow" dxfId="21"/>
      <tableStyleElement type="firstRowStripe" dxfId="20"/>
    </tableStyle>
  </tableStyles>
  <colors>
    <mruColors>
      <color rgb="FF263C18"/>
      <color rgb="FF1C2C12"/>
      <color rgb="FFFF5050"/>
      <color rgb="FFC864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9525</xdr:rowOff>
        </xdr:from>
        <xdr:to>
          <xdr:col>2</xdr:col>
          <xdr:colOff>1209675</xdr:colOff>
          <xdr:row>5</xdr:row>
          <xdr:rowOff>9525</xdr:rowOff>
        </xdr:to>
        <xdr:sp macro="" textlink="">
          <xdr:nvSpPr>
            <xdr:cNvPr id="2051" name="Button_Import_Dat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009158-57B2-4859-9B9C-A9EF32623015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B43DF02-E270-41D7-BB9C-77150600C3E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3B5D465D-4229-40F4-BB51-D0718D15D821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82A18F-6740-4EF1-9F63-E743AE1BC1C7}" name="Transactions" displayName="Transactions" ref="B4:F29" totalsRowShown="0" headerRowDxfId="0" dataDxfId="6">
  <tableColumns count="5">
    <tableColumn id="1" xr3:uid="{D253BE40-1200-4CA0-B2B8-82EA42342367}" name="DATE" dataDxfId="5"/>
    <tableColumn id="2" xr3:uid="{2FB9F731-D75B-429A-B645-7C7C2AD1A538}" name="AMOUNT" dataDxfId="3"/>
    <tableColumn id="3" xr3:uid="{BD77AF56-90F9-4834-A69F-7FB847E5BC97}" name="DESCRIPTION" dataDxfId="4"/>
    <tableColumn id="4" xr3:uid="{66BF2B3C-08CE-476D-8050-C82731D23B0E}" name="INSTITUTION" dataDxfId="8"/>
    <tableColumn id="5" xr3:uid="{FB497F14-CF61-48CC-9182-0907F3BE10C8}" name="CATEGORY" dataDxfId="7"/>
  </tableColumns>
  <tableStyleInfo name="TableStyleTransaction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FBE6F-388C-4135-89ED-DD9689D77361}">
  <sheetPr codeName="Sheet1">
    <tabColor theme="7" tint="0.39997558519241921"/>
  </sheetPr>
  <dimension ref="B1:O28"/>
  <sheetViews>
    <sheetView tabSelected="1" zoomScale="115" zoomScaleNormal="115" workbookViewId="0">
      <selection activeCell="I16" sqref="I16"/>
    </sheetView>
  </sheetViews>
  <sheetFormatPr defaultColWidth="8.85546875" defaultRowHeight="12.75" x14ac:dyDescent="0.2"/>
  <cols>
    <col min="1" max="1" width="6.7109375" style="1" customWidth="1"/>
    <col min="2" max="2" width="28.28515625" style="1" customWidth="1"/>
    <col min="3" max="3" width="16.28515625" style="1" customWidth="1"/>
    <col min="4" max="7" width="15.28515625" style="1" customWidth="1"/>
    <col min="8" max="13" width="12.85546875" style="1" customWidth="1"/>
    <col min="14" max="15" width="14.28515625" style="1" customWidth="1"/>
    <col min="16" max="16384" width="8.85546875" style="1"/>
  </cols>
  <sheetData>
    <row r="1" spans="2:15" s="22" customFormat="1" ht="14.45" customHeight="1" x14ac:dyDescent="0.2">
      <c r="B1" s="48" t="s">
        <v>20</v>
      </c>
      <c r="C1" s="49"/>
    </row>
    <row r="2" spans="2:15" s="22" customFormat="1" ht="14.45" customHeight="1" x14ac:dyDescent="0.2">
      <c r="B2" s="49"/>
      <c r="C2" s="49"/>
    </row>
    <row r="3" spans="2:15" ht="14.45" customHeight="1" x14ac:dyDescent="0.2"/>
    <row r="4" spans="2:15" s="2" customFormat="1" ht="14.45" customHeight="1" x14ac:dyDescent="0.25">
      <c r="F4" s="9" t="s">
        <v>0</v>
      </c>
      <c r="G4" s="10" t="s">
        <v>1</v>
      </c>
      <c r="H4" s="5"/>
      <c r="I4" s="5"/>
      <c r="J4" s="5"/>
      <c r="K4" s="5"/>
      <c r="L4" s="5"/>
      <c r="M4" s="5"/>
      <c r="N4" s="3"/>
      <c r="O4" s="3"/>
    </row>
    <row r="5" spans="2:15" s="2" customFormat="1" ht="15" x14ac:dyDescent="0.25">
      <c r="B5" s="4" t="s">
        <v>22</v>
      </c>
      <c r="D5" s="50" t="s">
        <v>21</v>
      </c>
      <c r="E5" s="50"/>
      <c r="F5" s="11" t="s">
        <v>55</v>
      </c>
      <c r="G5" s="12">
        <v>2023</v>
      </c>
      <c r="H5" s="5"/>
      <c r="I5" s="5"/>
      <c r="J5" s="5"/>
      <c r="K5" s="5"/>
      <c r="L5" s="5"/>
      <c r="M5" s="5"/>
    </row>
    <row r="6" spans="2:15" s="2" customFormat="1" ht="14.45" customHeight="1" x14ac:dyDescent="0.25">
      <c r="B6" s="1"/>
      <c r="C6" s="1"/>
      <c r="D6" s="1"/>
      <c r="E6" s="1"/>
      <c r="G6" s="1"/>
      <c r="H6" s="5"/>
      <c r="I6" s="5"/>
      <c r="J6" s="5"/>
      <c r="K6" s="5"/>
      <c r="L6" s="5"/>
      <c r="M6" s="5"/>
      <c r="N6" s="1"/>
      <c r="O6" s="1"/>
    </row>
    <row r="7" spans="2:15" s="2" customFormat="1" ht="14.45" customHeight="1" x14ac:dyDescent="0.25">
      <c r="B7" s="51" t="str">
        <f>"Breakdown - "&amp;F5&amp;" "&amp;current_year</f>
        <v>Breakdown - November 2023</v>
      </c>
      <c r="C7" s="51"/>
      <c r="D7" s="51"/>
      <c r="E7" s="51"/>
      <c r="F7" s="51"/>
      <c r="G7" s="51"/>
      <c r="H7" s="5"/>
      <c r="I7" s="5"/>
      <c r="J7" s="5"/>
      <c r="K7" s="5"/>
      <c r="L7" s="5"/>
      <c r="M7" s="5"/>
      <c r="N7" s="5"/>
      <c r="O7" s="1"/>
    </row>
    <row r="8" spans="2:15" s="2" customFormat="1" ht="14.45" customHeight="1" x14ac:dyDescent="0.25">
      <c r="B8" s="1"/>
      <c r="C8" s="1"/>
      <c r="D8" s="1"/>
      <c r="E8" s="1"/>
      <c r="G8" s="1"/>
      <c r="H8" s="5"/>
      <c r="I8" s="5"/>
      <c r="J8" s="5"/>
      <c r="K8" s="5"/>
      <c r="L8" s="5"/>
      <c r="M8" s="5"/>
      <c r="N8" s="1"/>
      <c r="O8" s="1"/>
    </row>
    <row r="9" spans="2:15" s="2" customFormat="1" ht="14.45" customHeight="1" x14ac:dyDescent="0.25">
      <c r="B9" s="6" t="s">
        <v>2</v>
      </c>
      <c r="C9" s="7" t="s">
        <v>15</v>
      </c>
      <c r="D9" s="7" t="s">
        <v>14</v>
      </c>
      <c r="E9" s="7" t="s">
        <v>18</v>
      </c>
      <c r="F9" s="7" t="s">
        <v>16</v>
      </c>
      <c r="G9" s="8" t="s">
        <v>17</v>
      </c>
      <c r="H9" s="5"/>
      <c r="I9" s="5"/>
      <c r="J9" s="5"/>
      <c r="K9" s="5"/>
      <c r="L9" s="5"/>
      <c r="M9" s="5"/>
      <c r="N9" s="1"/>
      <c r="O9" s="1"/>
    </row>
    <row r="10" spans="2:15" s="2" customFormat="1" ht="14.45" customHeight="1" x14ac:dyDescent="0.25">
      <c r="B10" s="40" t="str">
        <f>INDEX(Income,1)</f>
        <v>Employment</v>
      </c>
      <c r="C10" s="41">
        <f>ABS(SUMIFS('Income and Expenses'!$C$5:$C$1048576,'Income and Expenses'!$F5:$F$1048576,'Budget Dashboard'!B10))</f>
        <v>2700.4300000000003</v>
      </c>
      <c r="D10" s="42">
        <v>6000</v>
      </c>
      <c r="E10" s="43">
        <f>C10/D10</f>
        <v>0.4500716666666667</v>
      </c>
      <c r="F10" s="42">
        <f>IF(D10-C10&gt;0,D10-C10,"-")</f>
        <v>3299.5699999999997</v>
      </c>
      <c r="G10" s="44" t="str">
        <f>IF(C10-D10&gt;0,C10-D10,"-")</f>
        <v>-</v>
      </c>
      <c r="H10" s="5"/>
      <c r="I10" s="5"/>
      <c r="J10" s="5"/>
      <c r="K10" s="5"/>
      <c r="L10" s="5"/>
      <c r="M10" s="5"/>
      <c r="N10" s="1"/>
      <c r="O10" s="1"/>
    </row>
    <row r="11" spans="2:15" s="2" customFormat="1" ht="14.45" customHeight="1" x14ac:dyDescent="0.25">
      <c r="B11" s="40" t="str">
        <f>INDEX(Income,2)</f>
        <v>HSA</v>
      </c>
      <c r="C11" s="45">
        <f>ABS(SUMIFS('Income and Expenses'!$C$5:$C$1048576,'Income and Expenses'!$F5:$F$1048576,'Budget Dashboard'!B11))</f>
        <v>999.99</v>
      </c>
      <c r="D11" s="34">
        <v>6000</v>
      </c>
      <c r="E11" s="46">
        <f>C11/D11</f>
        <v>0.16666500000000001</v>
      </c>
      <c r="F11" s="34">
        <f>IF(D11-C11&gt;0,D11-C11,"-")</f>
        <v>5000.01</v>
      </c>
      <c r="G11" s="47" t="str">
        <f>IF(C11-D11&gt;0,C11-D11,"-")</f>
        <v>-</v>
      </c>
      <c r="H11" s="5"/>
      <c r="I11" s="5"/>
      <c r="J11" s="5"/>
      <c r="K11" s="5"/>
      <c r="L11" s="5"/>
      <c r="M11" s="5"/>
      <c r="N11" s="1"/>
      <c r="O11" s="1"/>
    </row>
    <row r="12" spans="2:15" s="2" customFormat="1" ht="14.45" customHeight="1" x14ac:dyDescent="0.25">
      <c r="B12" s="16" t="s">
        <v>12</v>
      </c>
      <c r="C12" s="18">
        <f>SUM(C10:C11)</f>
        <v>3700.42</v>
      </c>
      <c r="D12" s="18">
        <f>SUM(D11)</f>
        <v>6000</v>
      </c>
      <c r="E12" s="20">
        <f>C12/D12</f>
        <v>0.61673666666666671</v>
      </c>
      <c r="F12" s="18">
        <f>IF(D12-C12&gt;0,D12-C12,"-")</f>
        <v>2299.58</v>
      </c>
      <c r="G12" s="17" t="str">
        <f>IF(C12-D12&gt;0,C12-D12,"-")</f>
        <v>-</v>
      </c>
      <c r="H12" s="5"/>
      <c r="I12" s="5"/>
      <c r="J12" s="5"/>
      <c r="K12" s="5"/>
      <c r="L12" s="5"/>
      <c r="M12" s="5"/>
      <c r="N12" s="1"/>
      <c r="O12" s="1"/>
    </row>
    <row r="13" spans="2:15" s="2" customFormat="1" ht="14.45" customHeight="1" x14ac:dyDescent="0.25">
      <c r="B13" s="1"/>
      <c r="C13" s="1"/>
      <c r="D13" s="1"/>
      <c r="E13" s="1"/>
      <c r="G13" s="1"/>
      <c r="H13" s="5"/>
      <c r="I13" s="5"/>
      <c r="J13" s="5"/>
      <c r="K13" s="5"/>
      <c r="L13" s="5"/>
      <c r="M13" s="5"/>
      <c r="N13" s="1"/>
      <c r="O13" s="1"/>
    </row>
    <row r="14" spans="2:15" ht="14.45" customHeight="1" x14ac:dyDescent="0.25">
      <c r="B14" s="25" t="s">
        <v>13</v>
      </c>
      <c r="C14" s="26" t="s">
        <v>15</v>
      </c>
      <c r="D14" s="26" t="s">
        <v>14</v>
      </c>
      <c r="E14" s="26" t="s">
        <v>18</v>
      </c>
      <c r="F14" s="26" t="s">
        <v>16</v>
      </c>
      <c r="G14" s="27" t="s">
        <v>17</v>
      </c>
      <c r="H14" s="5"/>
      <c r="I14" s="5"/>
      <c r="J14" s="5"/>
      <c r="K14" s="5"/>
      <c r="L14" s="5"/>
      <c r="M14" s="5"/>
    </row>
    <row r="15" spans="2:15" ht="14.45" customHeight="1" x14ac:dyDescent="0.25">
      <c r="B15" s="28" t="str">
        <f>INDEX(Expenses,1)</f>
        <v>Car Maintainence and Insurance</v>
      </c>
      <c r="C15" s="29">
        <f>ABS(SUMIFS('Income and Expenses'!$C$5:$C$1048576,'Income and Expenses'!$F$5:$F$1048576,'Budget Dashboard'!B15))</f>
        <v>66.97</v>
      </c>
      <c r="D15" s="30">
        <v>200</v>
      </c>
      <c r="E15" s="31">
        <f t="shared" ref="E15:E20" si="0">C15/D15</f>
        <v>0.33484999999999998</v>
      </c>
      <c r="F15" s="33">
        <f t="shared" ref="F15:F20" si="1">IF(D15-C15&gt;0,D15-C15,"-")</f>
        <v>133.03</v>
      </c>
      <c r="G15" s="32" t="str">
        <f t="shared" ref="G15:G20" si="2">IF(C15-D15&gt;0,C15-D15,"-")</f>
        <v>-</v>
      </c>
      <c r="H15" s="5"/>
      <c r="I15" s="5"/>
      <c r="J15" s="5"/>
      <c r="K15" s="5"/>
      <c r="L15" s="5"/>
      <c r="M15" s="5"/>
    </row>
    <row r="16" spans="2:15" ht="14.45" customHeight="1" x14ac:dyDescent="0.25">
      <c r="B16" s="28" t="str">
        <f>INDEX(Expenses,2)</f>
        <v>Gas</v>
      </c>
      <c r="C16" s="29">
        <f>ABS(SUMIFS('Income and Expenses'!$C$5:$C$1048576,'Income and Expenses'!$F$5:$F$1048576,'Budget Dashboard'!B16))</f>
        <v>45</v>
      </c>
      <c r="D16" s="30">
        <v>200</v>
      </c>
      <c r="E16" s="31">
        <f t="shared" si="0"/>
        <v>0.22500000000000001</v>
      </c>
      <c r="F16" s="33">
        <f t="shared" si="1"/>
        <v>155</v>
      </c>
      <c r="G16" s="32" t="str">
        <f t="shared" si="2"/>
        <v>-</v>
      </c>
      <c r="H16" s="5"/>
      <c r="I16" s="5"/>
      <c r="J16" s="5"/>
      <c r="K16" s="5"/>
      <c r="L16" s="5"/>
      <c r="M16" s="5"/>
    </row>
    <row r="17" spans="2:13" ht="14.45" customHeight="1" x14ac:dyDescent="0.25">
      <c r="B17" s="28" t="str">
        <f>INDEX(Expenses,3)</f>
        <v>Groceries</v>
      </c>
      <c r="C17" s="29">
        <f>ABS(SUMIFS('Income and Expenses'!$C$5:$C$1048576,'Income and Expenses'!$F$5:$F$1048576,'Budget Dashboard'!B17))</f>
        <v>332.45</v>
      </c>
      <c r="D17" s="30">
        <v>500</v>
      </c>
      <c r="E17" s="31">
        <f t="shared" si="0"/>
        <v>0.66489999999999994</v>
      </c>
      <c r="F17" s="33">
        <f t="shared" si="1"/>
        <v>167.55</v>
      </c>
      <c r="G17" s="32" t="str">
        <f t="shared" si="2"/>
        <v>-</v>
      </c>
      <c r="H17" s="5"/>
      <c r="I17" s="5"/>
      <c r="J17" s="5"/>
      <c r="K17" s="5"/>
      <c r="L17" s="5"/>
      <c r="M17" s="5"/>
    </row>
    <row r="18" spans="2:13" ht="14.45" customHeight="1" x14ac:dyDescent="0.25">
      <c r="B18" s="28" t="str">
        <f>INDEX(Expenses,4)</f>
        <v>Loan Payments</v>
      </c>
      <c r="C18" s="29">
        <f>ABS(SUMIFS('Income and Expenses'!$C$5:$C$1048576,'Income and Expenses'!$F$5:$F$1048576,'Budget Dashboard'!B18))</f>
        <v>0</v>
      </c>
      <c r="D18" s="30">
        <v>250</v>
      </c>
      <c r="E18" s="31">
        <f t="shared" si="0"/>
        <v>0</v>
      </c>
      <c r="F18" s="33">
        <f t="shared" si="1"/>
        <v>250</v>
      </c>
      <c r="G18" s="32" t="str">
        <f t="shared" si="2"/>
        <v>-</v>
      </c>
      <c r="H18" s="5"/>
      <c r="I18" s="5"/>
      <c r="J18" s="5"/>
      <c r="K18" s="5"/>
      <c r="L18" s="5"/>
      <c r="M18" s="5"/>
    </row>
    <row r="19" spans="2:13" ht="14.45" customHeight="1" x14ac:dyDescent="0.25">
      <c r="B19" s="28" t="str">
        <f>INDEX(Expenses,5)</f>
        <v>Medical Expenses</v>
      </c>
      <c r="C19" s="29">
        <f>ABS(SUMIFS('Income and Expenses'!$C$5:$C$1048576,'Income and Expenses'!$F$5:$F$1048576,'Budget Dashboard'!B19))</f>
        <v>60</v>
      </c>
      <c r="D19" s="30">
        <v>200</v>
      </c>
      <c r="E19" s="31">
        <f t="shared" si="0"/>
        <v>0.3</v>
      </c>
      <c r="F19" s="33">
        <f t="shared" si="1"/>
        <v>140</v>
      </c>
      <c r="G19" s="32" t="str">
        <f t="shared" si="2"/>
        <v>-</v>
      </c>
      <c r="H19" s="5"/>
      <c r="I19" s="5"/>
      <c r="J19" s="5"/>
      <c r="K19" s="5"/>
      <c r="L19" s="5"/>
      <c r="M19" s="5"/>
    </row>
    <row r="20" spans="2:13" ht="14.45" customHeight="1" x14ac:dyDescent="0.25">
      <c r="B20" s="28" t="str">
        <f>INDEX(Expenses,6)</f>
        <v>Memberships and Subscriptions</v>
      </c>
      <c r="C20" s="29">
        <f>ABS(SUMIFS('Income and Expenses'!$C$5:$C$1048576,'Income and Expenses'!$F$5:$F$1048576,'Budget Dashboard'!B20))</f>
        <v>62.69</v>
      </c>
      <c r="D20" s="30">
        <v>450</v>
      </c>
      <c r="E20" s="31">
        <f t="shared" si="0"/>
        <v>0.13931111111111111</v>
      </c>
      <c r="F20" s="33">
        <f t="shared" si="1"/>
        <v>387.31</v>
      </c>
      <c r="G20" s="32" t="str">
        <f t="shared" si="2"/>
        <v>-</v>
      </c>
      <c r="H20" s="5"/>
      <c r="I20" s="5"/>
      <c r="J20" s="5"/>
      <c r="K20" s="5"/>
      <c r="L20" s="5"/>
      <c r="M20" s="5"/>
    </row>
    <row r="21" spans="2:13" ht="14.45" customHeight="1" x14ac:dyDescent="0.25">
      <c r="B21" s="28" t="str">
        <f>INDEX(Expenses,7)</f>
        <v>Personal Expenses</v>
      </c>
      <c r="C21" s="29">
        <f>ABS(SUMIFS('Income and Expenses'!$C$5:$C$1048576,'Income and Expenses'!$F$5:$F$1048576,'Budget Dashboard'!B21))</f>
        <v>174.88</v>
      </c>
      <c r="D21" s="30">
        <v>2000</v>
      </c>
      <c r="E21" s="31">
        <f>C21/D21</f>
        <v>8.7440000000000004E-2</v>
      </c>
      <c r="F21" s="33">
        <f>IF(D21-C21&gt;0,D21-C21,"-")</f>
        <v>1825.12</v>
      </c>
      <c r="G21" s="32" t="str">
        <f>IF(C21-D21&gt;0,C21-D21,"-")</f>
        <v>-</v>
      </c>
      <c r="H21" s="5"/>
      <c r="I21" s="5"/>
      <c r="J21" s="5"/>
      <c r="K21" s="5"/>
      <c r="L21" s="5"/>
      <c r="M21" s="5"/>
    </row>
    <row r="22" spans="2:13" ht="14.45" customHeight="1" x14ac:dyDescent="0.25">
      <c r="B22" s="28" t="str">
        <f>INDEX(Expenses,5)</f>
        <v>Medical Expenses</v>
      </c>
      <c r="C22" s="29">
        <f>ABS(SUMIFS('Income and Expenses'!$C$5:$C$1048576,'Income and Expenses'!$F$5:$F$1048576,'Budget Dashboard'!B22))</f>
        <v>60</v>
      </c>
      <c r="D22" s="30">
        <v>200</v>
      </c>
      <c r="E22" s="31">
        <f>C22/D22</f>
        <v>0.3</v>
      </c>
      <c r="F22" s="33">
        <f>IF(D22-C22&gt;0,D22-C22,"-")</f>
        <v>140</v>
      </c>
      <c r="G22" s="32" t="str">
        <f>IF(C22-D22&gt;0,C22-D22,"-")</f>
        <v>-</v>
      </c>
      <c r="H22" s="5"/>
      <c r="I22" s="5"/>
      <c r="J22" s="5"/>
      <c r="K22" s="5"/>
      <c r="L22" s="5"/>
      <c r="M22" s="5"/>
    </row>
    <row r="23" spans="2:13" ht="14.45" customHeight="1" x14ac:dyDescent="0.25">
      <c r="B23" s="28" t="str">
        <f>INDEX(Expenses,8)</f>
        <v>Rent and Utilities</v>
      </c>
      <c r="C23" s="29">
        <f>ABS(SUMIFS('Income and Expenses'!$C$5:$C$1048576,'Income and Expenses'!$F$5:$F$1048576,'Budget Dashboard'!B23))</f>
        <v>1000</v>
      </c>
      <c r="D23" s="30">
        <v>400</v>
      </c>
      <c r="E23" s="31">
        <f>C23/D23</f>
        <v>2.5</v>
      </c>
      <c r="F23" s="33" t="str">
        <f>IF(D23-C23&gt;0,D23-C23,"-")</f>
        <v>-</v>
      </c>
      <c r="G23" s="32">
        <f>IF(C23-D23&gt;0,C23-D23,"-")</f>
        <v>600</v>
      </c>
      <c r="H23" s="5"/>
      <c r="I23" s="5"/>
      <c r="J23" s="5"/>
      <c r="K23" s="5"/>
      <c r="L23" s="5"/>
      <c r="M23" s="5"/>
    </row>
    <row r="24" spans="2:13" ht="14.45" customHeight="1" x14ac:dyDescent="0.25">
      <c r="B24" s="28" t="str">
        <f>INDEX(Expenses,9)</f>
        <v>Restaurants</v>
      </c>
      <c r="C24" s="29">
        <f>ABS(SUMIFS('Income and Expenses'!$C$5:$C$1048576,'Income and Expenses'!$F$5:$F$1048576,'Budget Dashboard'!B24))</f>
        <v>51.07</v>
      </c>
      <c r="D24" s="34">
        <v>300</v>
      </c>
      <c r="E24" s="35">
        <f>C24/D24</f>
        <v>0.17023333333333335</v>
      </c>
      <c r="F24" s="37">
        <f>IF(D24-C24&gt;0,D24-C24,"-")</f>
        <v>248.93</v>
      </c>
      <c r="G24" s="36" t="str">
        <f>IF(C24-D24&gt;0,C24-D24,"-")</f>
        <v>-</v>
      </c>
      <c r="H24" s="5"/>
      <c r="I24" s="5"/>
      <c r="J24" s="5"/>
      <c r="K24" s="5"/>
      <c r="L24" s="5"/>
      <c r="M24" s="5"/>
    </row>
    <row r="25" spans="2:13" ht="14.45" customHeight="1" x14ac:dyDescent="0.25">
      <c r="B25" s="16" t="s">
        <v>12</v>
      </c>
      <c r="C25" s="18">
        <f>SUM(C15:C24)</f>
        <v>1853.0599999999997</v>
      </c>
      <c r="D25" s="18">
        <f>SUM(D15:D24)</f>
        <v>4700</v>
      </c>
      <c r="E25" s="21">
        <f>C25/D25</f>
        <v>0.39426808510638289</v>
      </c>
      <c r="F25" s="38">
        <f>IF(D25-C25&gt;0,D25-C25,"-")</f>
        <v>2846.9400000000005</v>
      </c>
      <c r="G25" s="19" t="str">
        <f>IF(C25-D25&gt;0,C25-D25,"-")</f>
        <v>-</v>
      </c>
      <c r="H25" s="5"/>
      <c r="I25" s="5"/>
      <c r="J25" s="5"/>
      <c r="K25" s="5"/>
      <c r="L25" s="5"/>
      <c r="M25" s="5"/>
    </row>
    <row r="26" spans="2:13" ht="14.45" customHeight="1" x14ac:dyDescent="0.25">
      <c r="H26" s="5"/>
      <c r="I26" s="5"/>
      <c r="J26" s="5"/>
      <c r="K26" s="5"/>
      <c r="L26" s="5"/>
      <c r="M26" s="5"/>
    </row>
    <row r="27" spans="2:13" ht="14.45" customHeight="1" x14ac:dyDescent="0.25">
      <c r="B27" s="13" t="s">
        <v>19</v>
      </c>
      <c r="C27" s="14" t="s">
        <v>15</v>
      </c>
      <c r="D27" s="14" t="s">
        <v>14</v>
      </c>
      <c r="E27" s="14" t="s">
        <v>18</v>
      </c>
      <c r="F27" s="14" t="s">
        <v>16</v>
      </c>
      <c r="G27" s="15" t="s">
        <v>17</v>
      </c>
      <c r="H27" s="5"/>
      <c r="I27" s="5"/>
      <c r="J27" s="5"/>
      <c r="K27" s="5"/>
      <c r="L27" s="5"/>
      <c r="M27" s="5"/>
    </row>
    <row r="28" spans="2:13" ht="14.45" customHeight="1" x14ac:dyDescent="0.2">
      <c r="B28" s="16" t="s">
        <v>12</v>
      </c>
      <c r="C28" s="18">
        <f>C12-C25</f>
        <v>1847.3600000000004</v>
      </c>
      <c r="D28" s="18">
        <f>D12-D25</f>
        <v>1300</v>
      </c>
      <c r="E28" s="21">
        <f>C28/D28</f>
        <v>1.4210461538461541</v>
      </c>
      <c r="F28" s="38" t="str">
        <f>IF(D28-C28&gt;0,D28-C28,"-")</f>
        <v>-</v>
      </c>
      <c r="G28" s="19">
        <f>IF(C28-D28&gt;0,C28-D28,"-")</f>
        <v>547.36000000000035</v>
      </c>
    </row>
  </sheetData>
  <mergeCells count="3">
    <mergeCell ref="B1:C2"/>
    <mergeCell ref="D5:E5"/>
    <mergeCell ref="B7:G7"/>
  </mergeCells>
  <conditionalFormatting sqref="E10:E11">
    <cfRule type="dataBar" priority="2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{C3E9393A-56D9-4148-99C1-25B6785953C8}</x14:id>
        </ext>
      </extLst>
    </cfRule>
  </conditionalFormatting>
  <conditionalFormatting sqref="E15:E24">
    <cfRule type="dataBar" priority="5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{798E3044-4757-4D0E-8FFD-E8B6033CA650}</x14:id>
        </ext>
      </extLst>
    </cfRule>
  </conditionalFormatting>
  <conditionalFormatting sqref="E12">
    <cfRule type="dataBar" priority="3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{0986E7CD-7385-4A99-9C76-EB550C99AB8A}</x14:id>
        </ext>
      </extLst>
    </cfRule>
  </conditionalFormatting>
  <conditionalFormatting sqref="C12">
    <cfRule type="cellIs" dxfId="19" priority="4" operator="lessThan">
      <formula>$D$25</formula>
    </cfRule>
  </conditionalFormatting>
  <conditionalFormatting sqref="C25">
    <cfRule type="cellIs" dxfId="18" priority="8" operator="greaterThan">
      <formula>$D$25</formula>
    </cfRule>
  </conditionalFormatting>
  <conditionalFormatting sqref="C28">
    <cfRule type="cellIs" dxfId="17" priority="9" operator="lessThan">
      <formula>0</formula>
    </cfRule>
  </conditionalFormatting>
  <conditionalFormatting sqref="E25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{68F764E6-6DEE-4159-89E5-66D9F82EE862}</x14:id>
        </ext>
      </extLst>
    </cfRule>
  </conditionalFormatting>
  <conditionalFormatting sqref="E28">
    <cfRule type="dataBar" priority="1">
      <dataBar>
        <cfvo type="num" val="0"/>
        <cfvo type="num" val="1"/>
        <color theme="6" tint="0.59999389629810485"/>
      </dataBar>
      <extLst>
        <ext xmlns:x14="http://schemas.microsoft.com/office/spreadsheetml/2009/9/main" uri="{B025F937-C7B1-47D3-B67F-A62EFF666E3E}">
          <x14:id>{70C27285-4586-4910-976B-F59421BC01F4}</x14:id>
        </ext>
      </extLst>
    </cfRule>
  </conditionalFormatting>
  <dataValidations count="2">
    <dataValidation type="list" operator="greaterThan" allowBlank="1" showInputMessage="1" showErrorMessage="1" sqref="G5" xr:uid="{EF0E957F-8821-420D-82AD-87EA9DFFB1BE}">
      <formula1>"2023,2024"</formula1>
    </dataValidation>
    <dataValidation type="list" allowBlank="1" showInputMessage="1" showErrorMessage="1" sqref="F5" xr:uid="{A07845C6-D67A-43AD-83CA-E9F8070D8178}">
      <formula1>"January,February,March,April,May,June,July,August,September,October,November,December"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57150</xdr:colOff>
                    <xdr:row>3</xdr:row>
                    <xdr:rowOff>9525</xdr:rowOff>
                  </from>
                  <to>
                    <xdr:col>2</xdr:col>
                    <xdr:colOff>1209675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E9393A-56D9-4148-99C1-25B6785953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E10:E11</xm:sqref>
        </x14:conditionalFormatting>
        <x14:conditionalFormatting xmlns:xm="http://schemas.microsoft.com/office/excel/2006/main">
          <x14:cfRule type="dataBar" id="{798E3044-4757-4D0E-8FFD-E8B6033CA6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E15:E24</xm:sqref>
        </x14:conditionalFormatting>
        <x14:conditionalFormatting xmlns:xm="http://schemas.microsoft.com/office/excel/2006/main">
          <x14:cfRule type="dataBar" id="{0986E7CD-7385-4A99-9C76-EB550C99AB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E12</xm:sqref>
        </x14:conditionalFormatting>
        <x14:conditionalFormatting xmlns:xm="http://schemas.microsoft.com/office/excel/2006/main">
          <x14:cfRule type="dataBar" id="{68F764E6-6DEE-4159-89E5-66D9F82EE8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E25</xm:sqref>
        </x14:conditionalFormatting>
        <x14:conditionalFormatting xmlns:xm="http://schemas.microsoft.com/office/excel/2006/main">
          <x14:cfRule type="dataBar" id="{70C27285-4586-4910-976B-F59421BC01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C2EB-65BE-4875-961F-4DBDF8EC6973}">
  <sheetPr codeName="Sheet2"/>
  <dimension ref="B1:F48"/>
  <sheetViews>
    <sheetView zoomScaleNormal="100" workbookViewId="0">
      <selection activeCell="D12" sqref="D12"/>
    </sheetView>
  </sheetViews>
  <sheetFormatPr defaultRowHeight="15" x14ac:dyDescent="0.25"/>
  <cols>
    <col min="1" max="1" width="6.7109375" style="5" customWidth="1"/>
    <col min="2" max="2" width="16.28515625" style="39" customWidth="1"/>
    <col min="3" max="3" width="16.28515625" style="24" customWidth="1"/>
    <col min="4" max="4" width="119.42578125" style="24" customWidth="1"/>
    <col min="5" max="5" width="22.140625" style="24" customWidth="1"/>
    <col min="6" max="6" width="35.7109375" style="24" customWidth="1"/>
    <col min="7" max="16384" width="9.140625" style="5"/>
  </cols>
  <sheetData>
    <row r="1" spans="2:6" s="23" customFormat="1" x14ac:dyDescent="0.25">
      <c r="B1" s="52" t="s">
        <v>23</v>
      </c>
      <c r="C1" s="52"/>
    </row>
    <row r="2" spans="2:6" s="23" customFormat="1" x14ac:dyDescent="0.25">
      <c r="B2" s="52"/>
      <c r="C2" s="52"/>
    </row>
    <row r="4" spans="2:6" x14ac:dyDescent="0.25">
      <c r="B4" s="57" t="s">
        <v>25</v>
      </c>
      <c r="C4" s="57" t="s">
        <v>26</v>
      </c>
      <c r="D4" s="57" t="s">
        <v>27</v>
      </c>
      <c r="E4" s="57" t="s">
        <v>48</v>
      </c>
      <c r="F4" s="57" t="s">
        <v>28</v>
      </c>
    </row>
    <row r="5" spans="2:6" x14ac:dyDescent="0.25">
      <c r="B5" s="55">
        <v>45231</v>
      </c>
      <c r="C5" s="56">
        <v>-11.75</v>
      </c>
      <c r="D5" s="54" t="s">
        <v>29</v>
      </c>
      <c r="E5" s="54" t="s">
        <v>49</v>
      </c>
      <c r="F5" s="54" t="s">
        <v>7</v>
      </c>
    </row>
    <row r="6" spans="2:6" x14ac:dyDescent="0.25">
      <c r="B6" s="55">
        <v>45231</v>
      </c>
      <c r="C6" s="56">
        <v>-44.93</v>
      </c>
      <c r="D6" s="54" t="s">
        <v>30</v>
      </c>
      <c r="E6" s="54" t="s">
        <v>49</v>
      </c>
      <c r="F6" s="54" t="s">
        <v>3</v>
      </c>
    </row>
    <row r="7" spans="2:6" x14ac:dyDescent="0.25">
      <c r="B7" s="55">
        <v>45231</v>
      </c>
      <c r="C7" s="56">
        <v>-1000</v>
      </c>
      <c r="D7" s="54" t="s">
        <v>31</v>
      </c>
      <c r="E7" s="54" t="s">
        <v>49</v>
      </c>
      <c r="F7" s="54" t="s">
        <v>5</v>
      </c>
    </row>
    <row r="8" spans="2:6" x14ac:dyDescent="0.25">
      <c r="B8" s="55">
        <v>45232</v>
      </c>
      <c r="C8" s="56">
        <v>-66</v>
      </c>
      <c r="D8" s="54" t="s">
        <v>32</v>
      </c>
      <c r="E8" s="54" t="s">
        <v>49</v>
      </c>
      <c r="F8" s="54" t="s">
        <v>3</v>
      </c>
    </row>
    <row r="9" spans="2:6" x14ac:dyDescent="0.25">
      <c r="B9" s="55">
        <v>45238</v>
      </c>
      <c r="C9" s="56">
        <v>300</v>
      </c>
      <c r="D9" s="54" t="s">
        <v>50</v>
      </c>
      <c r="E9" s="54" t="s">
        <v>51</v>
      </c>
      <c r="F9" s="54" t="s">
        <v>56</v>
      </c>
    </row>
    <row r="10" spans="2:6" x14ac:dyDescent="0.25">
      <c r="B10" s="55">
        <v>45238</v>
      </c>
      <c r="C10" s="56">
        <v>200.01</v>
      </c>
      <c r="D10" s="54" t="s">
        <v>52</v>
      </c>
      <c r="E10" s="54" t="s">
        <v>51</v>
      </c>
      <c r="F10" s="54" t="s">
        <v>56</v>
      </c>
    </row>
    <row r="11" spans="2:6" x14ac:dyDescent="0.25">
      <c r="B11" s="55">
        <v>45238</v>
      </c>
      <c r="C11" s="56">
        <v>-158</v>
      </c>
      <c r="D11" s="54" t="s">
        <v>33</v>
      </c>
      <c r="E11" s="54" t="s">
        <v>49</v>
      </c>
      <c r="F11" s="54" t="s">
        <v>4</v>
      </c>
    </row>
    <row r="12" spans="2:6" x14ac:dyDescent="0.25">
      <c r="B12" s="55">
        <v>45239</v>
      </c>
      <c r="C12" s="56">
        <v>500</v>
      </c>
      <c r="D12" s="54" t="s">
        <v>35</v>
      </c>
      <c r="E12" s="54" t="s">
        <v>49</v>
      </c>
      <c r="F12" s="54" t="s">
        <v>57</v>
      </c>
    </row>
    <row r="13" spans="2:6" x14ac:dyDescent="0.25">
      <c r="B13" s="55">
        <v>45239</v>
      </c>
      <c r="C13" s="56">
        <v>1000</v>
      </c>
      <c r="D13" s="54" t="s">
        <v>34</v>
      </c>
      <c r="E13" s="54" t="s">
        <v>49</v>
      </c>
      <c r="F13" s="54" t="s">
        <v>57</v>
      </c>
    </row>
    <row r="14" spans="2:6" x14ac:dyDescent="0.25">
      <c r="B14" s="55">
        <v>45243</v>
      </c>
      <c r="C14" s="56">
        <v>-50.94</v>
      </c>
      <c r="D14" s="54" t="s">
        <v>36</v>
      </c>
      <c r="E14" s="54" t="s">
        <v>49</v>
      </c>
      <c r="F14" s="54" t="s">
        <v>7</v>
      </c>
    </row>
    <row r="15" spans="2:6" x14ac:dyDescent="0.25">
      <c r="B15" s="55">
        <v>45244</v>
      </c>
      <c r="C15" s="56">
        <v>-63</v>
      </c>
      <c r="D15" s="54" t="s">
        <v>38</v>
      </c>
      <c r="E15" s="54" t="s">
        <v>49</v>
      </c>
      <c r="F15" s="54" t="s">
        <v>3</v>
      </c>
    </row>
    <row r="16" spans="2:6" x14ac:dyDescent="0.25">
      <c r="B16" s="55">
        <v>45244</v>
      </c>
      <c r="C16" s="56">
        <v>-152.94999999999999</v>
      </c>
      <c r="D16" s="54" t="s">
        <v>37</v>
      </c>
      <c r="E16" s="54" t="s">
        <v>49</v>
      </c>
      <c r="F16" s="54" t="s">
        <v>4</v>
      </c>
    </row>
    <row r="17" spans="2:6" x14ac:dyDescent="0.25">
      <c r="B17" s="55">
        <v>45250</v>
      </c>
      <c r="C17" s="56">
        <v>-60</v>
      </c>
      <c r="D17" s="54" t="s">
        <v>39</v>
      </c>
      <c r="E17" s="54" t="s">
        <v>49</v>
      </c>
      <c r="F17" s="54" t="s">
        <v>40</v>
      </c>
    </row>
    <row r="18" spans="2:6" x14ac:dyDescent="0.25">
      <c r="B18" s="55">
        <v>45252</v>
      </c>
      <c r="C18" s="56">
        <v>1000</v>
      </c>
      <c r="D18" s="54" t="s">
        <v>34</v>
      </c>
      <c r="E18" s="54" t="s">
        <v>49</v>
      </c>
      <c r="F18" s="54" t="s">
        <v>57</v>
      </c>
    </row>
    <row r="19" spans="2:6" x14ac:dyDescent="0.25">
      <c r="B19" s="55">
        <v>45252</v>
      </c>
      <c r="C19" s="56">
        <v>-51.07</v>
      </c>
      <c r="D19" s="54" t="s">
        <v>41</v>
      </c>
      <c r="E19" s="54" t="s">
        <v>49</v>
      </c>
      <c r="F19" s="54" t="s">
        <v>6</v>
      </c>
    </row>
    <row r="20" spans="2:6" x14ac:dyDescent="0.25">
      <c r="B20" s="55">
        <v>45252</v>
      </c>
      <c r="C20" s="56">
        <v>199.98</v>
      </c>
      <c r="D20" s="54" t="s">
        <v>52</v>
      </c>
      <c r="E20" s="54" t="s">
        <v>51</v>
      </c>
      <c r="F20" s="54" t="s">
        <v>56</v>
      </c>
    </row>
    <row r="21" spans="2:6" x14ac:dyDescent="0.25">
      <c r="B21" s="55">
        <v>45252</v>
      </c>
      <c r="C21" s="56">
        <v>300</v>
      </c>
      <c r="D21" s="54" t="s">
        <v>50</v>
      </c>
      <c r="E21" s="54" t="s">
        <v>51</v>
      </c>
      <c r="F21" s="54" t="s">
        <v>56</v>
      </c>
    </row>
    <row r="22" spans="2:6" x14ac:dyDescent="0.25">
      <c r="B22" s="55">
        <v>45254</v>
      </c>
      <c r="C22" s="56">
        <v>200</v>
      </c>
      <c r="D22" s="54" t="s">
        <v>44</v>
      </c>
      <c r="E22" s="54" t="s">
        <v>49</v>
      </c>
      <c r="F22" s="54" t="s">
        <v>57</v>
      </c>
    </row>
    <row r="23" spans="2:6" x14ac:dyDescent="0.25">
      <c r="B23" s="55">
        <v>45254</v>
      </c>
      <c r="C23" s="56">
        <v>-500</v>
      </c>
      <c r="D23" s="54" t="s">
        <v>42</v>
      </c>
      <c r="E23" s="54" t="s">
        <v>49</v>
      </c>
      <c r="F23" s="54" t="s">
        <v>9</v>
      </c>
    </row>
    <row r="24" spans="2:6" x14ac:dyDescent="0.25">
      <c r="B24" s="55">
        <v>45254</v>
      </c>
      <c r="C24" s="56">
        <v>-45</v>
      </c>
      <c r="D24" s="54" t="s">
        <v>43</v>
      </c>
      <c r="E24" s="54" t="s">
        <v>49</v>
      </c>
      <c r="F24" s="54" t="s">
        <v>8</v>
      </c>
    </row>
    <row r="25" spans="2:6" x14ac:dyDescent="0.25">
      <c r="B25" s="55">
        <v>45260</v>
      </c>
      <c r="C25" s="56">
        <v>-66.97</v>
      </c>
      <c r="D25" s="54" t="s">
        <v>47</v>
      </c>
      <c r="E25" s="54" t="s">
        <v>49</v>
      </c>
      <c r="F25" s="54" t="s">
        <v>11</v>
      </c>
    </row>
    <row r="26" spans="2:6" x14ac:dyDescent="0.25">
      <c r="B26" s="55">
        <v>45260</v>
      </c>
      <c r="C26" s="56">
        <v>-21.5</v>
      </c>
      <c r="D26" s="54" t="s">
        <v>46</v>
      </c>
      <c r="E26" s="54" t="s">
        <v>49</v>
      </c>
      <c r="F26" s="54" t="s">
        <v>4</v>
      </c>
    </row>
    <row r="27" spans="2:6" x14ac:dyDescent="0.25">
      <c r="B27" s="55">
        <v>45260</v>
      </c>
      <c r="C27" s="56">
        <v>-0.95</v>
      </c>
      <c r="D27" s="54" t="s">
        <v>53</v>
      </c>
      <c r="E27" s="54" t="s">
        <v>51</v>
      </c>
      <c r="F27" s="54" t="s">
        <v>3</v>
      </c>
    </row>
    <row r="28" spans="2:6" x14ac:dyDescent="0.25">
      <c r="B28" s="55">
        <v>45260</v>
      </c>
      <c r="C28" s="56">
        <v>0.42</v>
      </c>
      <c r="D28" s="54" t="s">
        <v>45</v>
      </c>
      <c r="E28" s="54" t="s">
        <v>49</v>
      </c>
      <c r="F28" s="54" t="s">
        <v>57</v>
      </c>
    </row>
    <row r="29" spans="2:6" x14ac:dyDescent="0.25">
      <c r="B29" s="55">
        <v>45260</v>
      </c>
      <c r="C29" s="56">
        <v>0.01</v>
      </c>
      <c r="D29" s="54" t="s">
        <v>54</v>
      </c>
      <c r="E29" s="54" t="s">
        <v>51</v>
      </c>
      <c r="F29" s="54" t="s">
        <v>57</v>
      </c>
    </row>
    <row r="30" spans="2:6" x14ac:dyDescent="0.25">
      <c r="B30" s="24"/>
    </row>
    <row r="31" spans="2:6" x14ac:dyDescent="0.25">
      <c r="B31" s="24"/>
    </row>
    <row r="32" spans="2:6" x14ac:dyDescent="0.25">
      <c r="B32" s="24"/>
    </row>
    <row r="33" spans="2:2" x14ac:dyDescent="0.25">
      <c r="B33" s="24"/>
    </row>
    <row r="34" spans="2:2" x14ac:dyDescent="0.25">
      <c r="B34" s="24"/>
    </row>
    <row r="35" spans="2:2" x14ac:dyDescent="0.25">
      <c r="B35" s="24"/>
    </row>
    <row r="36" spans="2:2" x14ac:dyDescent="0.25">
      <c r="B36" s="24"/>
    </row>
    <row r="37" spans="2:2" x14ac:dyDescent="0.25">
      <c r="B37" s="24"/>
    </row>
    <row r="38" spans="2:2" x14ac:dyDescent="0.25">
      <c r="B38" s="24"/>
    </row>
    <row r="39" spans="2:2" x14ac:dyDescent="0.25">
      <c r="B39" s="24"/>
    </row>
    <row r="40" spans="2:2" x14ac:dyDescent="0.25">
      <c r="B40" s="24"/>
    </row>
    <row r="41" spans="2:2" x14ac:dyDescent="0.25">
      <c r="B41" s="24"/>
    </row>
    <row r="42" spans="2:2" x14ac:dyDescent="0.25">
      <c r="B42" s="24"/>
    </row>
    <row r="43" spans="2:2" x14ac:dyDescent="0.25">
      <c r="B43" s="24"/>
    </row>
    <row r="44" spans="2:2" x14ac:dyDescent="0.25">
      <c r="B44" s="24"/>
    </row>
    <row r="45" spans="2:2" x14ac:dyDescent="0.25">
      <c r="B45" s="24"/>
    </row>
    <row r="46" spans="2:2" x14ac:dyDescent="0.25">
      <c r="B46" s="24"/>
    </row>
    <row r="47" spans="2:2" x14ac:dyDescent="0.25">
      <c r="B47" s="24"/>
    </row>
    <row r="48" spans="2:2" x14ac:dyDescent="0.25">
      <c r="B48" s="24"/>
    </row>
  </sheetData>
  <mergeCells count="1">
    <mergeCell ref="B1:C2"/>
  </mergeCells>
  <conditionalFormatting sqref="C5:C29">
    <cfRule type="cellIs" dxfId="2" priority="1" stopIfTrue="1" operator="greaterThanOrEqual">
      <formula>0</formula>
    </cfRule>
    <cfRule type="cellIs" dxfId="1" priority="2" stopIfTrue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4AA9-83A2-4C3A-8476-D2CA4E7B3298}">
  <sheetPr codeName="Sheet3">
    <tabColor rgb="FF002060"/>
  </sheetPr>
  <dimension ref="B1:E2"/>
  <sheetViews>
    <sheetView workbookViewId="0">
      <selection activeCell="B13" sqref="B13"/>
    </sheetView>
  </sheetViews>
  <sheetFormatPr defaultRowHeight="15" x14ac:dyDescent="0.25"/>
  <cols>
    <col min="1" max="16384" width="9.140625" style="5"/>
  </cols>
  <sheetData>
    <row r="1" spans="2:5" s="23" customFormat="1" ht="15" customHeight="1" x14ac:dyDescent="0.25">
      <c r="B1" s="53" t="s">
        <v>24</v>
      </c>
      <c r="C1" s="53"/>
      <c r="D1" s="53"/>
      <c r="E1" s="53"/>
    </row>
    <row r="2" spans="2:5" s="23" customFormat="1" ht="15" customHeight="1" x14ac:dyDescent="0.25">
      <c r="B2" s="53"/>
      <c r="C2" s="53"/>
      <c r="D2" s="53"/>
      <c r="E2" s="53"/>
    </row>
  </sheetData>
  <mergeCells count="1">
    <mergeCell ref="B1:E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E7671-B862-4A37-8196-0C2819A3966A}">
  <sheetPr codeName="Sheet4"/>
  <dimension ref="A1:B11"/>
  <sheetViews>
    <sheetView workbookViewId="0">
      <selection activeCell="D5" sqref="D5"/>
    </sheetView>
  </sheetViews>
  <sheetFormatPr defaultRowHeight="15" x14ac:dyDescent="0.25"/>
  <cols>
    <col min="1" max="1" width="29.85546875" bestFit="1" customWidth="1"/>
    <col min="2" max="2" width="12.28515625" bestFit="1" customWidth="1"/>
  </cols>
  <sheetData>
    <row r="1" spans="1:2" x14ac:dyDescent="0.25">
      <c r="A1" t="s">
        <v>13</v>
      </c>
      <c r="B1" t="s">
        <v>2</v>
      </c>
    </row>
    <row r="2" spans="1:2" x14ac:dyDescent="0.25">
      <c r="A2" t="s">
        <v>11</v>
      </c>
      <c r="B2" t="s">
        <v>57</v>
      </c>
    </row>
    <row r="3" spans="1:2" x14ac:dyDescent="0.25">
      <c r="A3" t="s">
        <v>8</v>
      </c>
      <c r="B3" t="s">
        <v>56</v>
      </c>
    </row>
    <row r="4" spans="1:2" x14ac:dyDescent="0.25">
      <c r="A4" t="s">
        <v>4</v>
      </c>
    </row>
    <row r="5" spans="1:2" x14ac:dyDescent="0.25">
      <c r="A5" t="s">
        <v>10</v>
      </c>
    </row>
    <row r="6" spans="1:2" x14ac:dyDescent="0.25">
      <c r="A6" t="s">
        <v>40</v>
      </c>
    </row>
    <row r="7" spans="1:2" x14ac:dyDescent="0.25">
      <c r="A7" t="s">
        <v>7</v>
      </c>
    </row>
    <row r="8" spans="1:2" x14ac:dyDescent="0.25">
      <c r="A8" t="s">
        <v>3</v>
      </c>
    </row>
    <row r="9" spans="1:2" x14ac:dyDescent="0.25">
      <c r="A9" t="s">
        <v>5</v>
      </c>
    </row>
    <row r="10" spans="1:2" x14ac:dyDescent="0.25">
      <c r="A10" t="s">
        <v>6</v>
      </c>
    </row>
    <row r="11" spans="1:2" x14ac:dyDescent="0.25">
      <c r="A11" t="s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38A80F-8655-4E9A-A736-57391E2BA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Budget Dashboard</vt:lpstr>
      <vt:lpstr>Income and Expenses</vt:lpstr>
      <vt:lpstr>Calculations</vt:lpstr>
      <vt:lpstr>Transaction Categories</vt:lpstr>
      <vt:lpstr>current_year</vt:lpstr>
      <vt:lpstr>Expenses</vt:lpstr>
      <vt:lpstr>'Transaction Categories'!ExternalData_1</vt:lpstr>
      <vt:lpstr>'Transaction Categories'!ExternalData_2</vt:lpstr>
      <vt:lpstr>'Transaction Categories'!ExternalData_3</vt:lpstr>
      <vt:lpstr>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Sol</dc:creator>
  <cp:lastModifiedBy>Diego Sol</cp:lastModifiedBy>
  <dcterms:created xsi:type="dcterms:W3CDTF">2024-05-15T20:42:03Z</dcterms:created>
  <dcterms:modified xsi:type="dcterms:W3CDTF">2024-08-25T05:26:23Z</dcterms:modified>
</cp:coreProperties>
</file>