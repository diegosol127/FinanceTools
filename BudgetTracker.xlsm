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30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315D5F37-C6DE-466D-9A4F-2D134B92CCAA}" xr6:coauthVersionLast="47" xr6:coauthVersionMax="47" xr10:uidLastSave="{00000000-0000-0000-0000-000000000000}"/>
  <bookViews>
    <workbookView xWindow="1605" yWindow="915" windowWidth="24675" windowHeight="16185" xr2:uid="{3CCECE8A-1D95-4C41-B52A-23F1772B54AF}"/>
  </bookViews>
  <sheets>
    <sheet name="Budget Dashboard" sheetId="2" r:id="rId1"/>
    <sheet name="Income and Expenses" sheetId="1" r:id="rId2"/>
    <sheet name="Calculations" sheetId="3" r:id="rId3"/>
  </sheets>
  <functionGroups builtInGroupCount="19"/>
  <definedNames>
    <definedName name="current_month">IF(LEN(month_val)&gt;1,month_val,"0"&amp;month_val)</definedName>
    <definedName name="current_year">'Budget Dashboard'!$G$5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E15" i="2" s="1"/>
  <c r="C16" i="2"/>
  <c r="G16" i="2" s="1"/>
  <c r="C17" i="2"/>
  <c r="E17" i="2" s="1"/>
  <c r="C18" i="2"/>
  <c r="G18" i="2" s="1"/>
  <c r="C19" i="2"/>
  <c r="E19" i="2" s="1"/>
  <c r="C20" i="2"/>
  <c r="G20" i="2" s="1"/>
  <c r="C21" i="2"/>
  <c r="E21" i="2" s="1"/>
  <c r="C22" i="2"/>
  <c r="G22" i="2" s="1"/>
  <c r="C14" i="2"/>
  <c r="C10" i="2"/>
  <c r="C11" i="2" s="1"/>
  <c r="D26" i="2"/>
  <c r="D23" i="2"/>
  <c r="D11" i="2"/>
  <c r="B7" i="2"/>
  <c r="C23" i="2" l="1"/>
  <c r="G23" i="2" s="1"/>
  <c r="E11" i="2"/>
  <c r="G11" i="2"/>
  <c r="F11" i="2"/>
  <c r="F15" i="2"/>
  <c r="F17" i="2"/>
  <c r="F19" i="2"/>
  <c r="F21" i="2"/>
  <c r="G15" i="2"/>
  <c r="G17" i="2"/>
  <c r="G19" i="2"/>
  <c r="G21" i="2"/>
  <c r="E16" i="2"/>
  <c r="E20" i="2"/>
  <c r="E22" i="2"/>
  <c r="F10" i="2"/>
  <c r="E14" i="2"/>
  <c r="E18" i="2"/>
  <c r="G10" i="2"/>
  <c r="F14" i="2"/>
  <c r="F16" i="2"/>
  <c r="F18" i="2"/>
  <c r="F20" i="2"/>
  <c r="F22" i="2"/>
  <c r="E10" i="2"/>
  <c r="G14" i="2"/>
  <c r="C26" i="2" l="1"/>
  <c r="G26" i="2" s="1"/>
  <c r="E23" i="2"/>
  <c r="F23" i="2"/>
  <c r="E26" i="2" l="1"/>
  <c r="F2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<sst xmlns="http://schemas.openxmlformats.org/spreadsheetml/2006/main" count="119" uniqueCount="56">
  <si>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</si>
  <si>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</si>
  <si>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</si>
  <si>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</si>
  <si>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</si>
  <si>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</si>
  <si>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</si>
  <si>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</si>
  <si>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</si>
  <si>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</si>
  <si>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</si>
  <si>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</si>
  <si>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</si>
  <si>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</si>
  <si>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</si>
  <si>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</si>
  <si>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</si>
  <si>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</si>
  <si>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</si>
  <si>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</si>
  <si>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</si>
  <si>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</si>
  <si>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</si>
  <si>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</si>
  <si>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</si>
  <si>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</si>
  <si>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</si>
  <si>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</si>
  <si>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</si>
  <si>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movie club fee</t>
  </si>
  <si>
    <t>HAIRCUT</t>
  </si>
  <si>
    <t>MONTHLY RENT</t>
  </si>
  <si>
    <t>CLOTHES</t>
  </si>
  <si>
    <t>GROCERY STORE</t>
  </si>
  <si>
    <t>Employer DIR DEP</t>
  </si>
  <si>
    <t>MONTHLY DIVIDENDS</t>
  </si>
  <si>
    <t>GYM MEMBERSHIP</t>
  </si>
  <si>
    <t>SUPERMARKET</t>
  </si>
  <si>
    <t>BOOK STORE</t>
  </si>
  <si>
    <t>dental expenses</t>
  </si>
  <si>
    <t>Medical Expenses</t>
  </si>
  <si>
    <t>ITALIAN FOOD</t>
  </si>
  <si>
    <t>AIRLINE FLT</t>
  </si>
  <si>
    <t>USA GASOLINE</t>
  </si>
  <si>
    <t>CASHED CHECK</t>
  </si>
  <si>
    <t>INTEREST PAYMENT</t>
  </si>
  <si>
    <t>FRESH FRUIT</t>
  </si>
  <si>
    <t>CAR MAINTAINENCE FEE</t>
  </si>
  <si>
    <t>INSTITUTION</t>
  </si>
  <si>
    <t>Wells Fargo</t>
  </si>
  <si>
    <t>Individual Contribution HSA</t>
  </si>
  <si>
    <t>Optum</t>
  </si>
  <si>
    <t>Employer Contribution HSA</t>
  </si>
  <si>
    <t>Service Charge</t>
  </si>
  <si>
    <t>Interest Payment</t>
  </si>
  <si>
    <t>November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</si>
</sst>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7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2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left" vertical="center"/>
    </xf>
    <xf numFmtId="164" fontId="2" fillId="2" borderId="8" xfId="0" applyNumberFormat="1" applyFont="1" applyFill="1" applyBorder="1" applyAlignment="1">
      <alignment horizontal="right" vertical="center"/>
    </xf>
    <xf numFmtId="0" fontId="4" fillId="5" borderId="9" xfId="0" applyFont="1" applyFill="1" applyBorder="1" applyAlignment="1">
      <alignment horizontal="left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left" vertical="center"/>
    </xf>
    <xf numFmtId="164" fontId="3" fillId="2" borderId="14" xfId="0" applyNumberFormat="1" applyFont="1" applyFill="1" applyBorder="1" applyAlignment="1">
      <alignment horizontal="right" vertical="center"/>
    </xf>
    <xf numFmtId="165" fontId="2" fillId="2" borderId="1" xfId="0" applyNumberFormat="1" applyFont="1" applyFill="1" applyBorder="1" applyAlignment="1">
      <alignment horizontal="right" vertical="center"/>
    </xf>
    <xf numFmtId="165" fontId="3" fillId="2" borderId="13" xfId="0" applyNumberFormat="1" applyFont="1" applyFill="1" applyBorder="1" applyAlignment="1">
      <alignment horizontal="right" vertical="center"/>
    </xf>
    <xf numFmtId="165" fontId="3" fillId="2" borderId="14" xfId="0" applyNumberFormat="1" applyFont="1" applyFill="1" applyBorder="1" applyAlignment="1">
      <alignment horizontal="right"/>
    </xf>
    <xf numFmtId="9" fontId="2" fillId="2" borderId="1" xfId="0" applyNumberFormat="1" applyFont="1" applyFill="1" applyBorder="1" applyAlignment="1">
      <alignment horizontal="right" vertical="center"/>
    </xf>
    <xf numFmtId="9" fontId="3" fillId="2" borderId="13" xfId="0" applyNumberFormat="1" applyFont="1" applyFill="1" applyBorder="1" applyAlignment="1">
      <alignment horizontal="right" vertical="center"/>
    </xf>
    <xf numFmtId="9" fontId="3" fillId="2" borderId="13" xfId="0" applyNumberFormat="1" applyFont="1" applyFill="1" applyBorder="1"/>
    <xf numFmtId="0" fontId="1" fillId="7" borderId="0" xfId="0" applyFont="1" applyFill="1"/>
    <xf numFmtId="0" fontId="0" fillId="7" borderId="0" xfId="0" applyFill="1"/>
    <xf numFmtId="165" fontId="1" fillId="2" borderId="1" xfId="0" applyNumberFormat="1" applyFont="1" applyFill="1" applyBorder="1" applyAlignment="1">
      <alignment horizontal="right" vertical="center"/>
    </xf>
    <xf numFmtId="0" fontId="0" fillId="8" borderId="0" xfId="0" applyFill="1"/>
    <xf numFmtId="0" fontId="4" fillId="3" borderId="15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left" vertical="center"/>
    </xf>
    <xf numFmtId="165" fontId="1" fillId="2" borderId="16" xfId="0" applyNumberFormat="1" applyFont="1" applyFill="1" applyBorder="1" applyAlignment="1">
      <alignment horizontal="right" vertical="center"/>
    </xf>
    <xf numFmtId="165" fontId="2" fillId="2" borderId="16" xfId="0" applyNumberFormat="1" applyFont="1" applyFill="1" applyBorder="1" applyAlignment="1">
      <alignment horizontal="right" vertical="center"/>
    </xf>
    <xf numFmtId="9" fontId="2" fillId="2" borderId="16" xfId="0" applyNumberFormat="1" applyFont="1" applyFill="1" applyBorder="1"/>
    <xf numFmtId="165" fontId="2" fillId="2" borderId="17" xfId="0" applyNumberFormat="1" applyFont="1" applyFill="1" applyBorder="1" applyAlignment="1">
      <alignment horizontal="right"/>
    </xf>
    <xf numFmtId="165" fontId="2" fillId="2" borderId="16" xfId="0" applyNumberFormat="1" applyFont="1" applyFill="1" applyBorder="1" applyAlignment="1">
      <alignment horizontal="right"/>
    </xf>
    <xf numFmtId="0" fontId="2" fillId="2" borderId="18" xfId="0" applyFont="1" applyFill="1" applyBorder="1" applyAlignment="1">
      <alignment horizontal="left" vertical="center"/>
    </xf>
    <xf numFmtId="165" fontId="2" fillId="2" borderId="19" xfId="0" applyNumberFormat="1" applyFont="1" applyFill="1" applyBorder="1" applyAlignment="1">
      <alignment horizontal="right" vertical="center"/>
    </xf>
    <xf numFmtId="9" fontId="2" fillId="2" borderId="19" xfId="0" applyNumberFormat="1" applyFont="1" applyFill="1" applyBorder="1"/>
    <xf numFmtId="165" fontId="2" fillId="2" borderId="20" xfId="0" applyNumberFormat="1" applyFont="1" applyFill="1" applyBorder="1" applyAlignment="1">
      <alignment horizontal="right"/>
    </xf>
    <xf numFmtId="165" fontId="2" fillId="2" borderId="19" xfId="0" applyNumberFormat="1" applyFont="1" applyFill="1" applyBorder="1" applyAlignment="1">
      <alignment horizontal="right"/>
    </xf>
    <xf numFmtId="165" fontId="3" fillId="2" borderId="13" xfId="0" applyNumberFormat="1" applyFont="1" applyFill="1" applyBorder="1" applyAlignment="1">
      <alignment horizontal="right"/>
    </xf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  <xf numFmtId="167" fontId="0" fillId="8" borderId="0" xfId="0" applyNumberFormat="1" applyFill="1"/>
    <xf numFmtId="167" fontId="0" fillId="2" borderId="0" xfId="0" applyNumberFormat="1" applyFill="1"/>
  </cellXfs>
  <cellStyles count="1">
    <cellStyle name="Normal" xfId="0" builtinId="0"/>
  </cellStyles>
  <dxfs count="27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26"/>
      <tableStyleElement type="headerRow" dxfId="25"/>
      <tableStyleElement type="firstRowStripe" dxfId="24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E483FC-E318-41A4-A5A4-F4F2B099ACA4}" name="Transactions" displayName="Transactions" ref="B4:F29" totalsRowShown="0" headerRowDxfId="0" dataDxfId="6">
  <tableColumns count="5">
    <tableColumn id="1" xr3:uid="{DFEF2D88-A0E7-4D8D-B7A7-1C397C09DD30}" name="DATE" dataDxfId="5"/>
    <tableColumn id="2" xr3:uid="{536C3C98-F9EC-404F-B64D-24AF5F5DC1E3}" name="AMOUNT" dataDxfId="3"/>
    <tableColumn id="3" xr3:uid="{C2A4EF1D-DFE9-43DA-B2E4-02A800B7A563}" name="DESCRIPTION" dataDxfId="4"/>
    <tableColumn id="4" xr3:uid="{E6D0CEA4-2D7C-4A17-BD61-C54392FBE356}" name="INSTITUTION" dataDxfId="8"/>
    <tableColumn id="5" xr3:uid="{AE3E8D19-5DFC-4BF1-AFBB-FE4DE3DD3DD3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28"/>
  <sheetViews>
    <sheetView tabSelected="1" zoomScale="115" zoomScaleNormal="115" workbookViewId="0">
      <selection activeCell="J12" sqref="J12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6" customFormat="1" ht="14.45" customHeight="1" x14ac:dyDescent="0.2">
      <c r="B1" s="45" t="s">
        <v>20</v>
      </c>
      <c r="C1" s="46"/>
    </row>
    <row r="2" spans="2:15" s="26" customFormat="1" ht="14.45" customHeight="1" x14ac:dyDescent="0.2">
      <c r="B2" s="46"/>
      <c r="C2" s="46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47" t="s">
        <v>21</v>
      </c>
      <c r="E5" s="47"/>
      <c r="F5" s="11" t="s">
        <v>55</v>
      </c>
      <c r="G5" s="12">
        <v>2023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48" t="str">
        <f>"Breakdown - "&amp;F5&amp;" "&amp;current_year</f>
        <v>Breakdown - November 2023</v>
      </c>
      <c r="C7" s="48"/>
      <c r="D7" s="48"/>
      <c r="E7" s="48"/>
      <c r="F7" s="48"/>
      <c r="G7" s="48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13" t="s">
        <v>2</v>
      </c>
      <c r="C10" s="28">
        <f>ABS(SUMIFS('Income and Expenses'!$C$5:$C$1048576,'Income and Expenses'!$F5:$F$1048576,'Budget Dashboard'!B10))</f>
        <v>3700.4200000000005</v>
      </c>
      <c r="D10" s="20">
        <v>6000</v>
      </c>
      <c r="E10" s="23">
        <f>C10/D10</f>
        <v>0.61673666666666671</v>
      </c>
      <c r="F10" s="20">
        <f>IF(D10-C10&gt;0,D10-C10,"-")</f>
        <v>2299.5799999999995</v>
      </c>
      <c r="G10" s="14" t="str">
        <f>IF(C10-D10&gt;0,C10-D10,"-")</f>
        <v>-</v>
      </c>
      <c r="H10" s="5"/>
      <c r="I10" s="5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18" t="s">
        <v>12</v>
      </c>
      <c r="C11" s="21">
        <f>SUM(C10:C10)</f>
        <v>3700.4200000000005</v>
      </c>
      <c r="D11" s="21">
        <f>SUM(D10)</f>
        <v>6000</v>
      </c>
      <c r="E11" s="24">
        <f>C11/D11</f>
        <v>0.61673666666666671</v>
      </c>
      <c r="F11" s="21">
        <f>IF(D11-C11&gt;0,D11-C11,"-")</f>
        <v>2299.5799999999995</v>
      </c>
      <c r="G11" s="19" t="str">
        <f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"/>
      <c r="C12" s="1"/>
      <c r="D12" s="1"/>
      <c r="E12" s="1"/>
      <c r="G12" s="1"/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30" t="s">
        <v>13</v>
      </c>
      <c r="C13" s="31" t="s">
        <v>15</v>
      </c>
      <c r="D13" s="31" t="s">
        <v>14</v>
      </c>
      <c r="E13" s="31" t="s">
        <v>18</v>
      </c>
      <c r="F13" s="31" t="s">
        <v>16</v>
      </c>
      <c r="G13" s="32" t="s">
        <v>17</v>
      </c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33" t="s">
        <v>11</v>
      </c>
      <c r="C14" s="34">
        <f>ABS(SUMIFS('Income and Expenses'!$C$5:$C$1048576,'Income and Expenses'!$F$5:$F$1048576,'Budget Dashboard'!B14))</f>
        <v>66.97</v>
      </c>
      <c r="D14" s="35">
        <v>200</v>
      </c>
      <c r="E14" s="36">
        <f t="shared" ref="E14:E19" si="0">C14/D14</f>
        <v>0.33484999999999998</v>
      </c>
      <c r="F14" s="38">
        <f t="shared" ref="F14:F19" si="1">IF(D14-C14&gt;0,D14-C14,"-")</f>
        <v>133.03</v>
      </c>
      <c r="G14" s="37" t="str">
        <f t="shared" ref="G14:G19" si="2">IF(C14-D14&gt;0,C14-D14,"-")</f>
        <v>-</v>
      </c>
      <c r="H14" s="5"/>
      <c r="I14" s="5"/>
      <c r="J14" s="5"/>
      <c r="K14" s="5"/>
      <c r="L14" s="5"/>
      <c r="M14" s="5"/>
    </row>
    <row r="15" spans="2:15" ht="14.45" customHeight="1" x14ac:dyDescent="0.25">
      <c r="B15" s="33" t="s">
        <v>8</v>
      </c>
      <c r="C15" s="34">
        <f>ABS(SUMIFS('Income and Expenses'!$C$5:$C$1048576,'Income and Expenses'!$F$5:$F$1048576,'Budget Dashboard'!B15))</f>
        <v>45</v>
      </c>
      <c r="D15" s="35">
        <v>200</v>
      </c>
      <c r="E15" s="36">
        <f t="shared" si="0"/>
        <v>0.22500000000000001</v>
      </c>
      <c r="F15" s="38">
        <f t="shared" si="1"/>
        <v>155</v>
      </c>
      <c r="G15" s="37" t="str">
        <f t="shared" si="2"/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33" t="s">
        <v>4</v>
      </c>
      <c r="C16" s="34">
        <f>ABS(SUMIFS('Income and Expenses'!$C$5:$C$1048576,'Income and Expenses'!$F$5:$F$1048576,'Budget Dashboard'!B16))</f>
        <v>332.45</v>
      </c>
      <c r="D16" s="35">
        <v>500</v>
      </c>
      <c r="E16" s="36">
        <f t="shared" si="0"/>
        <v>0.66489999999999994</v>
      </c>
      <c r="F16" s="38">
        <f t="shared" si="1"/>
        <v>167.55</v>
      </c>
      <c r="G16" s="37" t="str">
        <f t="shared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33" t="s">
        <v>10</v>
      </c>
      <c r="C17" s="34">
        <f>ABS(SUMIFS('Income and Expenses'!$C$5:$C$1048576,'Income and Expenses'!$F$5:$F$1048576,'Budget Dashboard'!B17))</f>
        <v>0</v>
      </c>
      <c r="D17" s="35">
        <v>250</v>
      </c>
      <c r="E17" s="36">
        <f t="shared" si="0"/>
        <v>0</v>
      </c>
      <c r="F17" s="38">
        <f t="shared" si="1"/>
        <v>250</v>
      </c>
      <c r="G17" s="37" t="str">
        <f t="shared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33" t="s">
        <v>7</v>
      </c>
      <c r="C18" s="34">
        <f>ABS(SUMIFS('Income and Expenses'!$C$5:$C$1048576,'Income and Expenses'!$F$5:$F$1048576,'Budget Dashboard'!B18))</f>
        <v>62.69</v>
      </c>
      <c r="D18" s="35">
        <v>200</v>
      </c>
      <c r="E18" s="36">
        <f t="shared" si="0"/>
        <v>0.31345000000000001</v>
      </c>
      <c r="F18" s="38">
        <f t="shared" si="1"/>
        <v>137.31</v>
      </c>
      <c r="G18" s="37" t="str">
        <f t="shared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33" t="s">
        <v>3</v>
      </c>
      <c r="C19" s="34">
        <f>ABS(SUMIFS('Income and Expenses'!$C$5:$C$1048576,'Income and Expenses'!$F$5:$F$1048576,'Budget Dashboard'!B19))</f>
        <v>174.88</v>
      </c>
      <c r="D19" s="35">
        <v>450</v>
      </c>
      <c r="E19" s="36">
        <f t="shared" si="0"/>
        <v>0.3886222222222222</v>
      </c>
      <c r="F19" s="38">
        <f t="shared" si="1"/>
        <v>275.12</v>
      </c>
      <c r="G19" s="37" t="str">
        <f t="shared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33" t="s">
        <v>5</v>
      </c>
      <c r="C20" s="34">
        <f>ABS(SUMIFS('Income and Expenses'!$C$5:$C$1048576,'Income and Expenses'!$F$5:$F$1048576,'Budget Dashboard'!B20))</f>
        <v>1000</v>
      </c>
      <c r="D20" s="35">
        <v>2000</v>
      </c>
      <c r="E20" s="36">
        <f>C20/D20</f>
        <v>0.5</v>
      </c>
      <c r="F20" s="38">
        <f>IF(D20-C20&gt;0,D20-C20,"-")</f>
        <v>1000</v>
      </c>
      <c r="G20" s="37" t="str">
        <f>IF(C20-D20&gt;0,C20-D20,"-")</f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33" t="s">
        <v>6</v>
      </c>
      <c r="C21" s="34">
        <f>ABS(SUMIFS('Income and Expenses'!$C$5:$C$1048576,'Income and Expenses'!$F$5:$F$1048576,'Budget Dashboard'!B21))</f>
        <v>51.07</v>
      </c>
      <c r="D21" s="35">
        <v>400</v>
      </c>
      <c r="E21" s="36">
        <f>C21/D21</f>
        <v>0.12767500000000001</v>
      </c>
      <c r="F21" s="38">
        <f>IF(D21-C21&gt;0,D21-C21,"-")</f>
        <v>348.93</v>
      </c>
      <c r="G21" s="37" t="str">
        <f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39" t="s">
        <v>9</v>
      </c>
      <c r="C22" s="34">
        <f>ABS(SUMIFS('Income and Expenses'!$C$5:$C$1048576,'Income and Expenses'!$F$5:$F$1048576,'Budget Dashboard'!B22))</f>
        <v>500</v>
      </c>
      <c r="D22" s="40">
        <v>300</v>
      </c>
      <c r="E22" s="41">
        <f>C22/D22</f>
        <v>1.6666666666666667</v>
      </c>
      <c r="F22" s="43" t="str">
        <f>IF(D22-C22&gt;0,D22-C22,"-")</f>
        <v>-</v>
      </c>
      <c r="G22" s="42">
        <f>IF(C22-D22&gt;0,C22-D22,"-")</f>
        <v>200</v>
      </c>
      <c r="H22" s="5"/>
      <c r="I22" s="5"/>
      <c r="J22" s="5"/>
      <c r="K22" s="5"/>
      <c r="L22" s="5"/>
      <c r="M22" s="5"/>
    </row>
    <row r="23" spans="2:13" ht="14.45" customHeight="1" x14ac:dyDescent="0.25">
      <c r="B23" s="18" t="s">
        <v>12</v>
      </c>
      <c r="C23" s="21">
        <f>SUM(C14:C22)</f>
        <v>2233.06</v>
      </c>
      <c r="D23" s="21">
        <f>SUM(D14:D22)</f>
        <v>4500</v>
      </c>
      <c r="E23" s="25">
        <f>C23/D23</f>
        <v>0.49623555555555554</v>
      </c>
      <c r="F23" s="44">
        <f>IF(D23-C23&gt;0,D23-C23,"-")</f>
        <v>2266.94</v>
      </c>
      <c r="G23" s="22" t="str">
        <f>IF(C23-D23&gt;0,C23-D23,"-")</f>
        <v>-</v>
      </c>
      <c r="H23" s="5"/>
      <c r="I23" s="5"/>
      <c r="J23" s="5"/>
      <c r="K23" s="5"/>
      <c r="L23" s="5"/>
      <c r="M23" s="5"/>
    </row>
    <row r="24" spans="2:13" ht="14.45" customHeight="1" x14ac:dyDescent="0.25">
      <c r="H24" s="5"/>
      <c r="I24" s="5"/>
      <c r="J24" s="5"/>
      <c r="K24" s="5"/>
      <c r="L24" s="5"/>
      <c r="M24" s="5"/>
    </row>
    <row r="25" spans="2:13" ht="14.45" customHeight="1" x14ac:dyDescent="0.25">
      <c r="B25" s="15" t="s">
        <v>19</v>
      </c>
      <c r="C25" s="16" t="s">
        <v>15</v>
      </c>
      <c r="D25" s="16" t="s">
        <v>14</v>
      </c>
      <c r="E25" s="16" t="s">
        <v>18</v>
      </c>
      <c r="F25" s="16" t="s">
        <v>16</v>
      </c>
      <c r="G25" s="17" t="s">
        <v>17</v>
      </c>
      <c r="H25" s="5"/>
      <c r="I25" s="5"/>
      <c r="J25" s="5"/>
      <c r="K25" s="5"/>
      <c r="L25" s="5"/>
      <c r="M25" s="5"/>
    </row>
    <row r="26" spans="2:13" ht="14.45" customHeight="1" x14ac:dyDescent="0.25">
      <c r="B26" s="18" t="s">
        <v>12</v>
      </c>
      <c r="C26" s="21">
        <f>C11-C23</f>
        <v>1467.3600000000006</v>
      </c>
      <c r="D26" s="21">
        <f>D11-D23</f>
        <v>1500</v>
      </c>
      <c r="E26" s="25">
        <f>C26/D26</f>
        <v>0.97824000000000044</v>
      </c>
      <c r="F26" s="44">
        <f>IF(D26-C26&gt;0,D26-C26,"-")</f>
        <v>32.639999999999418</v>
      </c>
      <c r="G26" s="22" t="str">
        <f>IF(C26-D26&gt;0,C26-D26,"-")</f>
        <v>-</v>
      </c>
      <c r="H26" s="5"/>
      <c r="I26" s="5"/>
      <c r="J26" s="5"/>
      <c r="K26" s="5"/>
      <c r="L26" s="5"/>
      <c r="M26" s="5"/>
    </row>
    <row r="27" spans="2:13" ht="14.45" customHeight="1" x14ac:dyDescent="0.25">
      <c r="H27" s="5"/>
      <c r="I27" s="5"/>
      <c r="J27" s="5"/>
      <c r="K27" s="5"/>
      <c r="L27" s="5"/>
      <c r="M27" s="5"/>
    </row>
    <row r="28" spans="2:13" ht="14.45" customHeight="1" x14ac:dyDescent="0.2"/>
  </sheetData>
  <mergeCells count="3">
    <mergeCell ref="B1:C2"/>
    <mergeCell ref="D5:E5"/>
    <mergeCell ref="B7:G7"/>
  </mergeCells>
  <conditionalFormatting sqref="E10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4:E22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1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1">
    <cfRule type="cellIs" dxfId="23" priority="4" operator="lessThan">
      <formula>$D$23</formula>
    </cfRule>
  </conditionalFormatting>
  <conditionalFormatting sqref="C23">
    <cfRule type="cellIs" dxfId="22" priority="8" operator="greaterThan">
      <formula>$D$23</formula>
    </cfRule>
  </conditionalFormatting>
  <conditionalFormatting sqref="C26">
    <cfRule type="cellIs" dxfId="21" priority="9" operator="lessThan">
      <formula>0</formula>
    </cfRule>
  </conditionalFormatting>
  <conditionalFormatting sqref="E23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6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E14:E22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101"/>
  <sheetViews>
    <sheetView zoomScaleNormal="100" workbookViewId="0">
      <selection activeCell="D34" sqref="D34"/>
    </sheetView>
  </sheetViews>
  <sheetFormatPr defaultRowHeight="15" x14ac:dyDescent="0.25"/>
  <cols>
    <col min="1" max="1" width="6.7109375" style="5" customWidth="1"/>
    <col min="2" max="2" width="16.28515625" style="56" customWidth="1"/>
    <col min="3" max="3" width="16.28515625" style="5" customWidth="1"/>
    <col min="4" max="4" width="119.42578125" style="5" customWidth="1"/>
    <col min="5" max="5" width="22.140625" style="5" customWidth="1"/>
    <col min="6" max="6" width="35.7109375" style="5" customWidth="1"/>
    <col min="7" max="16384" width="9.140625" style="5"/>
  </cols>
  <sheetData>
    <row r="1" spans="2:6" s="27" customFormat="1" x14ac:dyDescent="0.25">
      <c r="B1" s="49" t="s">
        <v>23</v>
      </c>
      <c r="C1" s="49"/>
    </row>
    <row r="2" spans="2:6" s="27" customFormat="1" x14ac:dyDescent="0.25">
      <c r="B2" s="49"/>
      <c r="C2" s="49"/>
    </row>
    <row r="4" spans="2:6" x14ac:dyDescent="0.25">
      <c r="B4" s="54" t="s">
        <v>25</v>
      </c>
      <c r="C4" s="54" t="s">
        <v>26</v>
      </c>
      <c r="D4" s="54" t="s">
        <v>27</v>
      </c>
      <c r="E4" s="54" t="s">
        <v>48</v>
      </c>
      <c r="F4" s="54" t="s">
        <v>28</v>
      </c>
    </row>
    <row r="5" spans="2:6" x14ac:dyDescent="0.25">
      <c r="B5" s="52">
        <v>45231</v>
      </c>
      <c r="C5" s="53">
        <v>-11.75</v>
      </c>
      <c r="D5" s="51" t="s">
        <v>29</v>
      </c>
      <c r="E5" s="51" t="s">
        <v>49</v>
      </c>
      <c r="F5" s="51" t="s">
        <v>7</v>
      </c>
    </row>
    <row r="6" spans="2:6" x14ac:dyDescent="0.25">
      <c r="B6" s="52">
        <v>45231</v>
      </c>
      <c r="C6" s="53">
        <v>-44.93</v>
      </c>
      <c r="D6" s="51" t="s">
        <v>30</v>
      </c>
      <c r="E6" s="51" t="s">
        <v>49</v>
      </c>
      <c r="F6" s="51" t="s">
        <v>3</v>
      </c>
    </row>
    <row r="7" spans="2:6" x14ac:dyDescent="0.25">
      <c r="B7" s="52">
        <v>45231</v>
      </c>
      <c r="C7" s="53">
        <v>-1000</v>
      </c>
      <c r="D7" s="51" t="s">
        <v>31</v>
      </c>
      <c r="E7" s="51" t="s">
        <v>49</v>
      </c>
      <c r="F7" s="51" t="s">
        <v>5</v>
      </c>
    </row>
    <row r="8" spans="2:6" x14ac:dyDescent="0.25">
      <c r="B8" s="52">
        <v>45232</v>
      </c>
      <c r="C8" s="53">
        <v>-66</v>
      </c>
      <c r="D8" s="51" t="s">
        <v>32</v>
      </c>
      <c r="E8" s="51" t="s">
        <v>49</v>
      </c>
      <c r="F8" s="51" t="s">
        <v>3</v>
      </c>
    </row>
    <row r="9" spans="2:6" x14ac:dyDescent="0.25">
      <c r="B9" s="52">
        <v>45238</v>
      </c>
      <c r="C9" s="53">
        <v>300</v>
      </c>
      <c r="D9" s="51" t="s">
        <v>50</v>
      </c>
      <c r="E9" s="51" t="s">
        <v>51</v>
      </c>
      <c r="F9" s="51" t="s">
        <v>2</v>
      </c>
    </row>
    <row r="10" spans="2:6" x14ac:dyDescent="0.25">
      <c r="B10" s="52">
        <v>45238</v>
      </c>
      <c r="C10" s="53">
        <v>200.01</v>
      </c>
      <c r="D10" s="51" t="s">
        <v>52</v>
      </c>
      <c r="E10" s="51" t="s">
        <v>51</v>
      </c>
      <c r="F10" s="51" t="s">
        <v>2</v>
      </c>
    </row>
    <row r="11" spans="2:6" x14ac:dyDescent="0.25">
      <c r="B11" s="52">
        <v>45238</v>
      </c>
      <c r="C11" s="53">
        <v>-158</v>
      </c>
      <c r="D11" s="51" t="s">
        <v>33</v>
      </c>
      <c r="E11" s="51" t="s">
        <v>49</v>
      </c>
      <c r="F11" s="51" t="s">
        <v>4</v>
      </c>
    </row>
    <row r="12" spans="2:6" x14ac:dyDescent="0.25">
      <c r="B12" s="52">
        <v>45239</v>
      </c>
      <c r="C12" s="53">
        <v>500</v>
      </c>
      <c r="D12" s="51" t="s">
        <v>35</v>
      </c>
      <c r="E12" s="51" t="s">
        <v>49</v>
      </c>
      <c r="F12" s="51" t="s">
        <v>2</v>
      </c>
    </row>
    <row r="13" spans="2:6" x14ac:dyDescent="0.25">
      <c r="B13" s="52">
        <v>45239</v>
      </c>
      <c r="C13" s="53">
        <v>1000</v>
      </c>
      <c r="D13" s="51" t="s">
        <v>34</v>
      </c>
      <c r="E13" s="51" t="s">
        <v>49</v>
      </c>
      <c r="F13" s="51" t="s">
        <v>2</v>
      </c>
    </row>
    <row r="14" spans="2:6" x14ac:dyDescent="0.25">
      <c r="B14" s="52">
        <v>45243</v>
      </c>
      <c r="C14" s="53">
        <v>-50.94</v>
      </c>
      <c r="D14" s="51" t="s">
        <v>36</v>
      </c>
      <c r="E14" s="51" t="s">
        <v>49</v>
      </c>
      <c r="F14" s="51" t="s">
        <v>7</v>
      </c>
    </row>
    <row r="15" spans="2:6" x14ac:dyDescent="0.25">
      <c r="B15" s="52">
        <v>45244</v>
      </c>
      <c r="C15" s="53">
        <v>-63</v>
      </c>
      <c r="D15" s="51" t="s">
        <v>38</v>
      </c>
      <c r="E15" s="51" t="s">
        <v>49</v>
      </c>
      <c r="F15" s="51" t="s">
        <v>3</v>
      </c>
    </row>
    <row r="16" spans="2:6" x14ac:dyDescent="0.25">
      <c r="B16" s="52">
        <v>45244</v>
      </c>
      <c r="C16" s="53">
        <v>-152.94999999999999</v>
      </c>
      <c r="D16" s="51" t="s">
        <v>37</v>
      </c>
      <c r="E16" s="51" t="s">
        <v>49</v>
      </c>
      <c r="F16" s="51" t="s">
        <v>4</v>
      </c>
    </row>
    <row r="17" spans="2:6" x14ac:dyDescent="0.25">
      <c r="B17" s="52">
        <v>45250</v>
      </c>
      <c r="C17" s="53">
        <v>-60</v>
      </c>
      <c r="D17" s="51" t="s">
        <v>39</v>
      </c>
      <c r="E17" s="51" t="s">
        <v>49</v>
      </c>
      <c r="F17" s="51" t="s">
        <v>40</v>
      </c>
    </row>
    <row r="18" spans="2:6" x14ac:dyDescent="0.25">
      <c r="B18" s="52">
        <v>45252</v>
      </c>
      <c r="C18" s="53">
        <v>1000</v>
      </c>
      <c r="D18" s="51" t="s">
        <v>34</v>
      </c>
      <c r="E18" s="51" t="s">
        <v>49</v>
      </c>
      <c r="F18" s="51" t="s">
        <v>2</v>
      </c>
    </row>
    <row r="19" spans="2:6" x14ac:dyDescent="0.25">
      <c r="B19" s="52">
        <v>45252</v>
      </c>
      <c r="C19" s="53">
        <v>-51.07</v>
      </c>
      <c r="D19" s="51" t="s">
        <v>41</v>
      </c>
      <c r="E19" s="51" t="s">
        <v>49</v>
      </c>
      <c r="F19" s="51" t="s">
        <v>6</v>
      </c>
    </row>
    <row r="20" spans="2:6" x14ac:dyDescent="0.25">
      <c r="B20" s="52">
        <v>45252</v>
      </c>
      <c r="C20" s="53">
        <v>199.98</v>
      </c>
      <c r="D20" s="51" t="s">
        <v>52</v>
      </c>
      <c r="E20" s="51" t="s">
        <v>51</v>
      </c>
      <c r="F20" s="51" t="s">
        <v>2</v>
      </c>
    </row>
    <row r="21" spans="2:6" x14ac:dyDescent="0.25">
      <c r="B21" s="52">
        <v>45252</v>
      </c>
      <c r="C21" s="53">
        <v>300</v>
      </c>
      <c r="D21" s="51" t="s">
        <v>50</v>
      </c>
      <c r="E21" s="51" t="s">
        <v>51</v>
      </c>
      <c r="F21" s="51" t="s">
        <v>2</v>
      </c>
    </row>
    <row r="22" spans="2:6" x14ac:dyDescent="0.25">
      <c r="B22" s="52">
        <v>45254</v>
      </c>
      <c r="C22" s="53">
        <v>200</v>
      </c>
      <c r="D22" s="51" t="s">
        <v>44</v>
      </c>
      <c r="E22" s="51" t="s">
        <v>49</v>
      </c>
      <c r="F22" s="51" t="s">
        <v>2</v>
      </c>
    </row>
    <row r="23" spans="2:6" x14ac:dyDescent="0.25">
      <c r="B23" s="52">
        <v>45254</v>
      </c>
      <c r="C23" s="53">
        <v>-500</v>
      </c>
      <c r="D23" s="51" t="s">
        <v>42</v>
      </c>
      <c r="E23" s="51" t="s">
        <v>49</v>
      </c>
      <c r="F23" s="51" t="s">
        <v>9</v>
      </c>
    </row>
    <row r="24" spans="2:6" x14ac:dyDescent="0.25">
      <c r="B24" s="52">
        <v>45254</v>
      </c>
      <c r="C24" s="53">
        <v>-45</v>
      </c>
      <c r="D24" s="51" t="s">
        <v>43</v>
      </c>
      <c r="E24" s="51" t="s">
        <v>49</v>
      </c>
      <c r="F24" s="51" t="s">
        <v>8</v>
      </c>
    </row>
    <row r="25" spans="2:6" x14ac:dyDescent="0.25">
      <c r="B25" s="52">
        <v>45260</v>
      </c>
      <c r="C25" s="53">
        <v>-66.97</v>
      </c>
      <c r="D25" s="51" t="s">
        <v>47</v>
      </c>
      <c r="E25" s="51" t="s">
        <v>49</v>
      </c>
      <c r="F25" s="51" t="s">
        <v>11</v>
      </c>
    </row>
    <row r="26" spans="2:6" x14ac:dyDescent="0.25">
      <c r="B26" s="52">
        <v>45260</v>
      </c>
      <c r="C26" s="53">
        <v>-21.5</v>
      </c>
      <c r="D26" s="51" t="s">
        <v>46</v>
      </c>
      <c r="E26" s="51" t="s">
        <v>49</v>
      </c>
      <c r="F26" s="51" t="s">
        <v>4</v>
      </c>
    </row>
    <row r="27" spans="2:6" x14ac:dyDescent="0.25">
      <c r="B27" s="52">
        <v>45260</v>
      </c>
      <c r="C27" s="53">
        <v>-0.95</v>
      </c>
      <c r="D27" s="51" t="s">
        <v>53</v>
      </c>
      <c r="E27" s="51" t="s">
        <v>51</v>
      </c>
      <c r="F27" s="51" t="s">
        <v>3</v>
      </c>
    </row>
    <row r="28" spans="2:6" x14ac:dyDescent="0.25">
      <c r="B28" s="52">
        <v>45260</v>
      </c>
      <c r="C28" s="53">
        <v>0.42</v>
      </c>
      <c r="D28" s="51" t="s">
        <v>45</v>
      </c>
      <c r="E28" s="51" t="s">
        <v>49</v>
      </c>
      <c r="F28" s="51" t="s">
        <v>2</v>
      </c>
    </row>
    <row r="29" spans="2:6" x14ac:dyDescent="0.25">
      <c r="B29" s="52">
        <v>45260</v>
      </c>
      <c r="C29" s="53">
        <v>0.01</v>
      </c>
      <c r="D29" s="51" t="s">
        <v>54</v>
      </c>
      <c r="E29" s="51" t="s">
        <v>51</v>
      </c>
      <c r="F29" s="51" t="s">
        <v>2</v>
      </c>
    </row>
    <row r="30" spans="2:6" x14ac:dyDescent="0.25">
      <c r="B30" s="29"/>
      <c r="C30" s="29"/>
      <c r="D30" s="29"/>
      <c r="E30" s="29"/>
      <c r="F30" s="29"/>
    </row>
    <row r="31" spans="2:6" x14ac:dyDescent="0.25">
      <c r="B31" s="29"/>
      <c r="C31" s="29"/>
      <c r="D31" s="29"/>
      <c r="E31" s="29"/>
      <c r="F31" s="29"/>
    </row>
    <row r="32" spans="2:6" x14ac:dyDescent="0.25">
      <c r="B32" s="29"/>
      <c r="C32" s="29"/>
      <c r="D32" s="29"/>
      <c r="E32" s="29"/>
      <c r="F32" s="29"/>
    </row>
    <row r="33" spans="2:6" x14ac:dyDescent="0.25">
      <c r="B33" s="29"/>
      <c r="C33" s="29"/>
      <c r="D33" s="29"/>
      <c r="E33" s="29"/>
      <c r="F33" s="29"/>
    </row>
    <row r="34" spans="2:6" x14ac:dyDescent="0.25">
      <c r="B34" s="29"/>
      <c r="C34" s="29"/>
      <c r="D34" s="29"/>
      <c r="E34" s="29"/>
      <c r="F34" s="29"/>
    </row>
    <row r="35" spans="2:6" x14ac:dyDescent="0.25">
      <c r="B35" s="55"/>
      <c r="C35" s="29"/>
      <c r="D35" s="29"/>
      <c r="E35" s="29"/>
    </row>
    <row r="36" spans="2:6" x14ac:dyDescent="0.25">
      <c r="B36" s="55"/>
      <c r="C36" s="29"/>
      <c r="D36" s="29"/>
      <c r="E36" s="29"/>
    </row>
    <row r="37" spans="2:6" x14ac:dyDescent="0.25">
      <c r="B37" s="55"/>
      <c r="C37" s="29"/>
      <c r="D37" s="29"/>
      <c r="E37" s="29"/>
    </row>
    <row r="38" spans="2:6" x14ac:dyDescent="0.25">
      <c r="B38" s="55"/>
      <c r="C38" s="29"/>
      <c r="D38" s="29"/>
      <c r="E38" s="29"/>
    </row>
    <row r="39" spans="2:6" x14ac:dyDescent="0.25">
      <c r="B39" s="55"/>
      <c r="C39" s="29"/>
      <c r="D39" s="29"/>
      <c r="E39" s="29"/>
    </row>
    <row r="40" spans="2:6" x14ac:dyDescent="0.25">
      <c r="B40" s="55"/>
      <c r="C40" s="29"/>
      <c r="D40" s="29"/>
      <c r="E40" s="29"/>
    </row>
    <row r="41" spans="2:6" x14ac:dyDescent="0.25">
      <c r="B41" s="55"/>
      <c r="C41" s="29"/>
      <c r="D41" s="29"/>
      <c r="E41" s="29"/>
    </row>
    <row r="42" spans="2:6" x14ac:dyDescent="0.25">
      <c r="B42" s="55"/>
      <c r="C42" s="29"/>
      <c r="D42" s="29"/>
      <c r="E42" s="29"/>
    </row>
    <row r="43" spans="2:6" x14ac:dyDescent="0.25">
      <c r="B43" s="55"/>
      <c r="C43" s="29"/>
      <c r="D43" s="29"/>
      <c r="E43" s="29"/>
    </row>
    <row r="44" spans="2:6" x14ac:dyDescent="0.25">
      <c r="B44" s="55"/>
      <c r="C44" s="29"/>
      <c r="D44" s="29"/>
      <c r="E44" s="29"/>
    </row>
    <row r="45" spans="2:6" x14ac:dyDescent="0.25">
      <c r="B45" s="55"/>
      <c r="C45" s="29"/>
      <c r="D45" s="29"/>
      <c r="E45" s="29"/>
    </row>
    <row r="46" spans="2:6" x14ac:dyDescent="0.25">
      <c r="B46" s="55"/>
      <c r="C46" s="29"/>
      <c r="D46" s="29"/>
      <c r="E46" s="29"/>
    </row>
    <row r="47" spans="2:6" x14ac:dyDescent="0.25">
      <c r="B47" s="55"/>
      <c r="C47" s="29"/>
      <c r="D47" s="29"/>
      <c r="E47" s="29"/>
    </row>
    <row r="48" spans="2:6" x14ac:dyDescent="0.25">
      <c r="B48" s="55"/>
      <c r="C48" s="29"/>
      <c r="D48" s="29"/>
      <c r="E48" s="29"/>
    </row>
    <row r="49" spans="2:5" x14ac:dyDescent="0.25">
      <c r="B49" s="55"/>
      <c r="C49" s="29"/>
      <c r="D49" s="29"/>
      <c r="E49" s="29"/>
    </row>
    <row r="50" spans="2:5" x14ac:dyDescent="0.25">
      <c r="B50" s="55"/>
      <c r="C50" s="29"/>
      <c r="D50" s="29"/>
      <c r="E50" s="29"/>
    </row>
    <row r="51" spans="2:5" x14ac:dyDescent="0.25">
      <c r="B51" s="55"/>
      <c r="C51" s="29"/>
      <c r="D51" s="29"/>
      <c r="E51" s="29"/>
    </row>
    <row r="52" spans="2:5" x14ac:dyDescent="0.25">
      <c r="B52" s="55"/>
      <c r="C52" s="29"/>
      <c r="D52" s="29"/>
      <c r="E52" s="29"/>
    </row>
    <row r="53" spans="2:5" x14ac:dyDescent="0.25">
      <c r="B53" s="55"/>
      <c r="C53" s="29"/>
      <c r="D53" s="29"/>
      <c r="E53" s="29"/>
    </row>
    <row r="54" spans="2:5" x14ac:dyDescent="0.25">
      <c r="B54" s="55"/>
      <c r="C54" s="29"/>
      <c r="D54" s="29"/>
      <c r="E54" s="29"/>
    </row>
    <row r="55" spans="2:5" x14ac:dyDescent="0.25">
      <c r="B55" s="55"/>
      <c r="C55" s="29"/>
      <c r="D55" s="29"/>
      <c r="E55" s="29"/>
    </row>
    <row r="56" spans="2:5" x14ac:dyDescent="0.25">
      <c r="B56" s="55"/>
      <c r="C56" s="29"/>
      <c r="D56" s="29"/>
      <c r="E56" s="29"/>
    </row>
    <row r="57" spans="2:5" x14ac:dyDescent="0.25">
      <c r="B57" s="55"/>
      <c r="C57" s="29"/>
      <c r="D57" s="29"/>
      <c r="E57" s="29"/>
    </row>
    <row r="58" spans="2:5" x14ac:dyDescent="0.25">
      <c r="B58" s="55"/>
      <c r="C58" s="29"/>
      <c r="D58" s="29"/>
      <c r="E58" s="29"/>
    </row>
    <row r="59" spans="2:5" x14ac:dyDescent="0.25">
      <c r="B59" s="55"/>
      <c r="C59" s="29"/>
      <c r="D59" s="29"/>
      <c r="E59" s="29"/>
    </row>
    <row r="60" spans="2:5" x14ac:dyDescent="0.25">
      <c r="B60" s="55"/>
      <c r="C60" s="29"/>
      <c r="D60" s="29"/>
      <c r="E60" s="29"/>
    </row>
    <row r="61" spans="2:5" x14ac:dyDescent="0.25">
      <c r="B61" s="55"/>
      <c r="C61" s="29"/>
      <c r="D61" s="29"/>
      <c r="E61" s="29"/>
    </row>
    <row r="62" spans="2:5" x14ac:dyDescent="0.25">
      <c r="B62" s="55"/>
      <c r="C62" s="29"/>
      <c r="D62" s="29"/>
      <c r="E62" s="29"/>
    </row>
    <row r="63" spans="2:5" x14ac:dyDescent="0.25">
      <c r="B63" s="55"/>
      <c r="C63" s="29"/>
      <c r="D63" s="29"/>
      <c r="E63" s="29"/>
    </row>
    <row r="64" spans="2:5" x14ac:dyDescent="0.25">
      <c r="B64" s="55"/>
      <c r="C64" s="29"/>
      <c r="D64" s="29"/>
      <c r="E64" s="29"/>
    </row>
    <row r="65" spans="2:5" x14ac:dyDescent="0.25">
      <c r="B65" s="55"/>
      <c r="C65" s="29"/>
      <c r="D65" s="29"/>
      <c r="E65" s="29"/>
    </row>
    <row r="66" spans="2:5" x14ac:dyDescent="0.25">
      <c r="B66" s="55"/>
      <c r="C66" s="29"/>
      <c r="D66" s="29"/>
      <c r="E66" s="29"/>
    </row>
    <row r="67" spans="2:5" x14ac:dyDescent="0.25">
      <c r="B67" s="55"/>
      <c r="C67" s="29"/>
      <c r="D67" s="29"/>
      <c r="E67" s="29"/>
    </row>
    <row r="68" spans="2:5" x14ac:dyDescent="0.25">
      <c r="B68" s="55"/>
      <c r="C68" s="29"/>
      <c r="D68" s="29"/>
      <c r="E68" s="29"/>
    </row>
    <row r="69" spans="2:5" x14ac:dyDescent="0.25">
      <c r="B69" s="55"/>
      <c r="C69" s="29"/>
      <c r="D69" s="29"/>
      <c r="E69" s="29"/>
    </row>
    <row r="70" spans="2:5" x14ac:dyDescent="0.25">
      <c r="B70" s="55"/>
      <c r="C70" s="29"/>
      <c r="D70" s="29"/>
      <c r="E70" s="29"/>
    </row>
    <row r="71" spans="2:5" x14ac:dyDescent="0.25">
      <c r="B71" s="55"/>
      <c r="C71" s="29"/>
      <c r="D71" s="29"/>
      <c r="E71" s="29"/>
    </row>
    <row r="72" spans="2:5" x14ac:dyDescent="0.25">
      <c r="B72" s="55"/>
      <c r="C72" s="29"/>
      <c r="D72" s="29"/>
      <c r="E72" s="29"/>
    </row>
    <row r="73" spans="2:5" x14ac:dyDescent="0.25">
      <c r="B73" s="55"/>
      <c r="C73" s="29"/>
      <c r="D73" s="29"/>
      <c r="E73" s="29"/>
    </row>
    <row r="74" spans="2:5" x14ac:dyDescent="0.25">
      <c r="B74" s="55"/>
      <c r="C74" s="29"/>
      <c r="D74" s="29"/>
      <c r="E74" s="29"/>
    </row>
    <row r="75" spans="2:5" x14ac:dyDescent="0.25">
      <c r="B75" s="55"/>
      <c r="C75" s="29"/>
      <c r="D75" s="29"/>
      <c r="E75" s="29"/>
    </row>
    <row r="76" spans="2:5" x14ac:dyDescent="0.25">
      <c r="B76" s="55"/>
      <c r="C76" s="29"/>
      <c r="D76" s="29"/>
      <c r="E76" s="29"/>
    </row>
    <row r="77" spans="2:5" x14ac:dyDescent="0.25">
      <c r="B77" s="55"/>
      <c r="C77" s="29"/>
      <c r="D77" s="29"/>
      <c r="E77" s="29"/>
    </row>
    <row r="78" spans="2:5" x14ac:dyDescent="0.25">
      <c r="B78" s="55"/>
      <c r="C78" s="29"/>
      <c r="D78" s="29"/>
      <c r="E78" s="29"/>
    </row>
    <row r="79" spans="2:5" x14ac:dyDescent="0.25">
      <c r="B79" s="55"/>
      <c r="C79" s="29"/>
      <c r="D79" s="29"/>
      <c r="E79" s="29"/>
    </row>
    <row r="80" spans="2:5" x14ac:dyDescent="0.25">
      <c r="B80" s="55"/>
      <c r="C80" s="29"/>
      <c r="D80" s="29"/>
      <c r="E80" s="29"/>
    </row>
    <row r="81" spans="2:5" x14ac:dyDescent="0.25">
      <c r="B81" s="55"/>
      <c r="C81" s="29"/>
      <c r="D81" s="29"/>
      <c r="E81" s="29"/>
    </row>
    <row r="82" spans="2:5" x14ac:dyDescent="0.25">
      <c r="B82" s="55"/>
      <c r="C82" s="29"/>
      <c r="D82" s="29"/>
      <c r="E82" s="29"/>
    </row>
    <row r="83" spans="2:5" x14ac:dyDescent="0.25">
      <c r="B83" s="55"/>
      <c r="C83" s="29"/>
      <c r="D83" s="29"/>
      <c r="E83" s="29"/>
    </row>
    <row r="84" spans="2:5" x14ac:dyDescent="0.25">
      <c r="B84" s="55"/>
      <c r="C84" s="29"/>
      <c r="D84" s="29"/>
      <c r="E84" s="29"/>
    </row>
    <row r="85" spans="2:5" x14ac:dyDescent="0.25">
      <c r="B85" s="55"/>
      <c r="C85" s="29"/>
      <c r="D85" s="29"/>
      <c r="E85" s="29"/>
    </row>
    <row r="86" spans="2:5" x14ac:dyDescent="0.25">
      <c r="B86" s="55"/>
      <c r="C86" s="29"/>
      <c r="D86" s="29"/>
      <c r="E86" s="29"/>
    </row>
    <row r="87" spans="2:5" x14ac:dyDescent="0.25">
      <c r="B87" s="55"/>
      <c r="C87" s="29"/>
      <c r="D87" s="29"/>
      <c r="E87" s="29"/>
    </row>
    <row r="88" spans="2:5" x14ac:dyDescent="0.25">
      <c r="B88" s="55"/>
      <c r="C88" s="29"/>
      <c r="D88" s="29"/>
      <c r="E88" s="29"/>
    </row>
    <row r="89" spans="2:5" x14ac:dyDescent="0.25">
      <c r="B89" s="55"/>
      <c r="C89" s="29"/>
      <c r="D89" s="29"/>
      <c r="E89" s="29"/>
    </row>
    <row r="90" spans="2:5" x14ac:dyDescent="0.25">
      <c r="B90" s="55"/>
      <c r="C90" s="29"/>
      <c r="D90" s="29"/>
      <c r="E90" s="29"/>
    </row>
    <row r="91" spans="2:5" x14ac:dyDescent="0.25">
      <c r="B91" s="55"/>
      <c r="C91" s="29"/>
      <c r="D91" s="29"/>
      <c r="E91" s="29"/>
    </row>
    <row r="92" spans="2:5" x14ac:dyDescent="0.25">
      <c r="B92" s="55"/>
      <c r="C92" s="29"/>
      <c r="D92" s="29"/>
      <c r="E92" s="29"/>
    </row>
    <row r="93" spans="2:5" x14ac:dyDescent="0.25">
      <c r="B93" s="55"/>
      <c r="C93" s="29"/>
      <c r="D93" s="29"/>
      <c r="E93" s="29"/>
    </row>
    <row r="94" spans="2:5" x14ac:dyDescent="0.25">
      <c r="B94" s="55"/>
      <c r="C94" s="29"/>
      <c r="D94" s="29"/>
      <c r="E94" s="29"/>
    </row>
    <row r="95" spans="2:5" x14ac:dyDescent="0.25">
      <c r="B95" s="55"/>
      <c r="C95" s="29"/>
      <c r="D95" s="29"/>
      <c r="E95" s="29"/>
    </row>
    <row r="96" spans="2:5" x14ac:dyDescent="0.25">
      <c r="B96" s="55"/>
      <c r="C96" s="29"/>
      <c r="D96" s="29"/>
      <c r="E96" s="29"/>
    </row>
    <row r="97" spans="2:5" x14ac:dyDescent="0.25">
      <c r="B97" s="55"/>
      <c r="C97" s="29"/>
      <c r="D97" s="29"/>
      <c r="E97" s="29"/>
    </row>
    <row r="98" spans="2:5" x14ac:dyDescent="0.25">
      <c r="B98" s="55"/>
      <c r="C98" s="29"/>
      <c r="D98" s="29"/>
      <c r="E98" s="29"/>
    </row>
    <row r="99" spans="2:5" x14ac:dyDescent="0.25">
      <c r="B99" s="55"/>
      <c r="C99" s="29"/>
      <c r="D99" s="29"/>
      <c r="E99" s="29"/>
    </row>
    <row r="100" spans="2:5" x14ac:dyDescent="0.25">
      <c r="B100" s="55"/>
      <c r="C100" s="29"/>
      <c r="D100" s="29"/>
      <c r="E100" s="29"/>
    </row>
    <row r="101" spans="2:5" x14ac:dyDescent="0.25">
      <c r="B101" s="55"/>
      <c r="C101" s="29"/>
      <c r="D101" s="29"/>
      <c r="E101" s="29"/>
    </row>
  </sheetData>
  <mergeCells count="1">
    <mergeCell ref="B1:C2"/>
  </mergeCells>
  <conditionalFormatting sqref="C5:C29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7" customFormat="1" ht="15" customHeight="1" x14ac:dyDescent="0.25">
      <c r="B1" s="50" t="s">
        <v>24</v>
      </c>
      <c r="C1" s="50"/>
      <c r="D1" s="50"/>
      <c r="E1" s="50"/>
    </row>
    <row r="2" spans="2:5" s="27" customFormat="1" ht="15" customHeight="1" x14ac:dyDescent="0.25">
      <c r="B2" s="50"/>
      <c r="C2" s="50"/>
      <c r="D2" s="50"/>
      <c r="E2" s="50"/>
    </row>
  </sheetData>
  <mergeCells count="1">
    <mergeCell ref="B1:E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Budget Dashboard</vt:lpstr>
      <vt:lpstr>Income and Expenses</vt:lpstr>
      <vt:lpstr>Calculations</vt:lpstr>
      <vt:lpstr>current_year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2024-06-08T06:44:25Z</dcterms:modified>
</cp:coreProperties>
</file>