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7" codeName="{D2901291-EE16-BAEF-A0FF-EE518A719B5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ego\git\FinanceTools\"/>
    </mc:Choice>
  </mc:AlternateContent>
  <xr:revisionPtr revIDLastSave="0" documentId="13_ncr:1_{9609D54C-C025-40C2-A1F0-7EC999E0F3B7}" xr6:coauthVersionLast="47" xr6:coauthVersionMax="47" xr10:uidLastSave="{00000000-0000-0000-0000-000000000000}"/>
  <bookViews>
    <workbookView xWindow="14775" yWindow="1935" windowWidth="30525" windowHeight="17400" xr2:uid="{3CCECE8A-1D95-4C41-B52A-23F1772B54AF}"/>
  </bookViews>
  <sheets>
    <sheet name="Budget Dashboard" sheetId="2" r:id="rId1"/>
    <sheet name="Income and Expenses" sheetId="1" r:id="rId2"/>
    <sheet name="Calculations" sheetId="3" r:id="rId3"/>
    <sheet name="Transaction Categories" sheetId="6" r:id="rId4"/>
  </sheets>
  <functionGroups builtInGroupCount="19"/>
  <definedNames>
    <definedName name="current_month">IF(LEN(month_val)&gt;1,month_val,"0"&amp;month_val)</definedName>
    <definedName name="current_year">'Budget Dashboard'!$G$5</definedName>
    <definedName name="Expenses">'Transaction Categories'!$A$2:$A$11</definedName>
    <definedName name="ExternalData_1" localSheetId="3">'Transaction Categories'!$A$1:$B$11</definedName>
    <definedName name="ExternalData_2" localSheetId="3">'Transaction Categories'!$A$1:$B$11</definedName>
    <definedName name="ExternalData_3" localSheetId="3">'Transaction Categories'!$A$1:$B$11</definedName>
    <definedName name="Income">'Transaction Categories'!$B$2:$B$11</definedName>
    <definedName name="month_val">MONTH(DATEVALUE('Budget Dashboard'!$F$5 &amp; "1"))</definedName>
    <definedName name="transactions_max_row">MAX(ROW('Income and Expenses'!$A$3:$D$1048576))</definedName>
    <definedName name="transactions_min_row">MIN(ROW('Income and Expenses'!$A$3:$D$1048576))</definedName>
    <definedName name="year_month">current_year&amp;"_"&amp;current_month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B24" i="2"/>
  <c r="B23" i="2"/>
  <c r="B22" i="2"/>
  <c r="B21" i="2"/>
  <c r="B20" i="2"/>
  <c r="B19" i="2"/>
  <c r="B18" i="2"/>
  <c r="B17" i="2"/>
  <c r="B16" i="2"/>
  <c r="B15" i="2"/>
  <c r="B11" i="2"/>
  <c r="B10" i="2"/>
  <c r="D25" i="2"/>
  <c r="B7" i="2"/>
  <c r="C16" i="2"/>
  <c r="C23" i="2"/>
  <c r="C24" i="2"/>
  <c r="C15" i="2"/>
  <c r="C17" i="2"/>
  <c r="C11" i="2"/>
  <c r="C22" i="2"/>
  <c r="C10" i="2"/>
  <c r="C18" i="2"/>
  <c r="C20" i="2"/>
  <c r="C19" i="2"/>
  <c r="C21" i="2"/>
  <c r="E22" i="2" l="1"/>
  <c r="E16" i="2"/>
  <c r="G17" i="2"/>
  <c r="E18" i="2"/>
  <c r="G19" i="2"/>
  <c r="G24" i="2"/>
  <c r="E20" i="2"/>
  <c r="G21" i="2"/>
  <c r="E23" i="2"/>
  <c r="G10" i="2"/>
  <c r="F22" i="2"/>
  <c r="G22" i="2"/>
  <c r="D28" i="2"/>
  <c r="C12" i="2"/>
  <c r="E12" i="2" s="1"/>
  <c r="E10" i="2"/>
  <c r="F10" i="2"/>
  <c r="C25" i="2"/>
  <c r="G25" i="2" s="1"/>
  <c r="F16" i="2"/>
  <c r="F18" i="2"/>
  <c r="F20" i="2"/>
  <c r="F23" i="2"/>
  <c r="G16" i="2"/>
  <c r="G18" i="2"/>
  <c r="G20" i="2"/>
  <c r="G23" i="2"/>
  <c r="E17" i="2"/>
  <c r="E21" i="2"/>
  <c r="E24" i="2"/>
  <c r="F11" i="2"/>
  <c r="E15" i="2"/>
  <c r="E19" i="2"/>
  <c r="G11" i="2"/>
  <c r="F15" i="2"/>
  <c r="F17" i="2"/>
  <c r="F19" i="2"/>
  <c r="F21" i="2"/>
  <c r="F24" i="2"/>
  <c r="E11" i="2"/>
  <c r="G15" i="2"/>
  <c r="G12" i="2" l="1"/>
  <c r="F12" i="2"/>
  <c r="C28" i="2"/>
  <c r="G28" i="2" s="1"/>
  <c r="E25" i="2"/>
  <c r="F25" i="2"/>
  <c r="E28" i="2" l="1"/>
  <c r="F2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9C72D8-8CD8-467C-9530-E130709E861A}" name="Categories" type="6" refreshedVersion="8" background="1" saveData="1">
    <textPr prompt="0" sourceFile="C:\Users\diego\git\FinanceTools\Outputs\Categories.csv" tab="0" comma="1">
      <textFields count="2">
        <textField/>
        <textField/>
      </textFields>
    </textPr>
  </connection>
  <connection id="2" xr16:uid="{DAB4029A-233C-435A-ACF7-06A8CDB150A1}" name="categories_keywords" type="6" refreshedVersion="0" background="1">
    <textPr prompt="0" sourceFile="C:\Users\diego\git\FinanceTools\categories_keywords.csv">
      <textFields>
        <textField/>
      </textFields>
    </textPr>
  </connection>
  <connection id="3" xr16:uid="{FB5CF5DF-7B2A-4492-8D7D-7AA7E7FE70C1}" name="Categories1" type="6" refreshedVersion="8" background="1" saveData="1">
    <textPr prompt="0" sourceFile="C:\Users\diego\git\FinanceTools\Outputs\Categories.csv" tab="0" comma="1">
      <textFields count="2">
        <textField/>
        <textField/>
      </textFields>
    </textPr>
  </connection>
  <connection id="4" xr16:uid="{E9BDF6C7-06B7-4723-988D-93199FD0E5F8}" name="Categories2" type="6" refreshedVersion="8" background="1" saveData="1">
    <textPr prompt="0" sourceFile="C:\Users\diego\git\FinanceTools\Outputs\Categories.csv" tab="0" comma="1">
      <textFields count="2">
        <textField/>
        <textField/>
      </textFields>
    </textPr>
  </connection>
  <connection id="5" xr16:uid="{DD752294-6A05-4460-8F6B-73D5697E698F}" keepAlive="1" name="Query - Table8" description="Connection to the 'Table8' query in the workbook." type="5" refreshedVersion="8" background="1" saveData="1">
    <dbPr connection="Provider=Microsoft.Mashup.OleDb.1;Data Source=$Workbook$;Location=Table8;Extended Properties=&quot;&quot;" command="SELECT * FROM [Table8]"/>
  </connection>
</connections>
</file>

<file path=xl/sharedStrings.xml><?xml version="1.0" encoding="utf-8"?>
<sst xmlns="http://schemas.openxmlformats.org/spreadsheetml/2006/main" count="180" uniqueCount="77">
  <si>
    <t>Month</t>
  </si>
  <si>
    <t>Year</t>
  </si>
  <si>
    <t>Income</t>
  </si>
  <si>
    <t>Personal Expenses</t>
  </si>
  <si>
    <t>Groceries</t>
  </si>
  <si>
    <t>Rent and Utilities</t>
  </si>
  <si>
    <t>Restaurants</t>
  </si>
  <si>
    <t>Memberships and Subscriptions</t>
  </si>
  <si>
    <t>Gas</t>
  </si>
  <si>
    <t>Travel Expenses</t>
  </si>
  <si>
    <t>Loan Payments</t>
  </si>
  <si>
    <t>Car Maintainence and Insurance</t>
  </si>
  <si>
    <t>Total</t>
  </si>
  <si>
    <t>Expenses</t>
  </si>
  <si>
    <t>Expected</t>
  </si>
  <si>
    <t>Actual</t>
  </si>
  <si>
    <t>Remaining</t>
  </si>
  <si>
    <t>Excess</t>
  </si>
  <si>
    <t>% Complete</t>
  </si>
  <si>
    <t>Savings</t>
  </si>
  <si>
    <t>Budget Dashboard</t>
  </si>
  <si>
    <r>
      <t xml:space="preserve">Select month and year to view </t>
    </r>
    <r>
      <rPr>
        <i/>
        <sz val="10"/>
        <color theme="3" tint="0.499984740745262"/>
        <rFont val="Calibri"/>
        <family val="2"/>
      </rPr>
      <t>→</t>
    </r>
  </si>
  <si>
    <t>Press to import and process data →</t>
  </si>
  <si>
    <t>Income and Expenses</t>
  </si>
  <si>
    <t>Calculations</t>
  </si>
  <si>
    <t>DATE</t>
  </si>
  <si>
    <t>AMOUNT</t>
  </si>
  <si>
    <t>DESCRIPTION</t>
  </si>
  <si>
    <t>CATEGORY</t>
  </si>
  <si>
    <t>Medical Expenses</t>
  </si>
  <si>
    <t>INTEREST PAYMENT</t>
  </si>
  <si>
    <t>INSTITUTION</t>
  </si>
  <si>
    <t>Wells Fargo</t>
  </si>
  <si>
    <t>HSA</t>
  </si>
  <si>
    <t>Employment</t>
  </si>
  <si>
    <t>AmericanExpress</t>
  </si>
  <si>
    <t>AMEX DUNKIN' CREDIT</t>
  </si>
  <si>
    <t>SoFi</t>
  </si>
  <si>
    <t>Interest earned</t>
  </si>
  <si>
    <t>Optum</t>
  </si>
  <si>
    <t>Service Charge</t>
  </si>
  <si>
    <t>Interest Payment</t>
  </si>
  <si>
    <t>To House Vault</t>
  </si>
  <si>
    <t>movie club fee</t>
  </si>
  <si>
    <t>HAIRCUT</t>
  </si>
  <si>
    <t>MONTHLY RENT</t>
  </si>
  <si>
    <t>CLOTHES</t>
  </si>
  <si>
    <t>Individual Contribution HSA</t>
  </si>
  <si>
    <t>Employer Contribution HSA</t>
  </si>
  <si>
    <t>GROCERY STORE</t>
  </si>
  <si>
    <t>MONTHLY DIVIDENDS</t>
  </si>
  <si>
    <t>Employer DIR DEP</t>
  </si>
  <si>
    <t>GYM MEMBERSHIP</t>
  </si>
  <si>
    <t>BOOK STORE</t>
  </si>
  <si>
    <t>SUPERMARKET</t>
  </si>
  <si>
    <t>dental expenses</t>
  </si>
  <si>
    <t>ITALIAN FOOD</t>
  </si>
  <si>
    <t>CASHED CHECK</t>
  </si>
  <si>
    <t>AIRLINE FLT</t>
  </si>
  <si>
    <t>USA GASOLINE</t>
  </si>
  <si>
    <t>CAR MAINTAINENCE FEE</t>
  </si>
  <si>
    <t>FRESH FRUIT</t>
  </si>
  <si>
    <t>January</t>
  </si>
  <si>
    <t>From Checking</t>
  </si>
  <si>
    <t>FOOD</t>
  </si>
  <si>
    <t>Shopping</t>
  </si>
  <si>
    <t>Bank Deposit</t>
  </si>
  <si>
    <t>Cash back</t>
  </si>
  <si>
    <t>Flight ticket</t>
  </si>
  <si>
    <t>To Savings</t>
  </si>
  <si>
    <t>Restaurant</t>
  </si>
  <si>
    <t>Airline fee</t>
  </si>
  <si>
    <t>***Unlabeled***</t>
  </si>
  <si>
    <t>DUNKIN #362446 3624 ALBUQUERQUE         NM</t>
  </si>
  <si>
    <t>PHARMACY Feb 19 202</t>
  </si>
  <si>
    <t>PHARMACY Feb 29 202</t>
  </si>
  <si>
    <t>***Internal Transactions***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</si>
</sst>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&quot;$&quot;#,##0.00"/>
    <numFmt numFmtId="165" formatCode="&quot;$&quot;#,##0"/>
    <numFmt numFmtId="166" formatCode="yyyy\-mm\-dd;@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0"/>
      <color theme="3" tint="0.499984740745262"/>
      <name val="Calibri"/>
      <family val="2"/>
      <scheme val="minor"/>
    </font>
    <font>
      <i/>
      <sz val="10"/>
      <color theme="3" tint="0.499984740745262"/>
      <name val="Calibri"/>
      <family val="2"/>
    </font>
    <font>
      <sz val="20"/>
      <color theme="0"/>
      <name val="Calibri"/>
      <family val="2"/>
      <scheme val="minor"/>
    </font>
    <font>
      <sz val="15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FF"/>
        <bgColor indexed="64"/>
      </patternFill>
    </fill>
  </fills>
  <borders count="20">
    <border>
      <left/>
      <right/>
      <top/>
      <bottom/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0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0"/>
      </bottom>
      <diagonal/>
    </border>
    <border>
      <left style="thin">
        <color theme="1"/>
      </left>
      <right style="thin">
        <color theme="3" tint="0.749961851863155"/>
      </right>
      <top style="thin">
        <color theme="1"/>
      </top>
      <bottom style="thin">
        <color theme="1"/>
      </bottom>
      <diagonal/>
    </border>
    <border>
      <left style="thin">
        <color theme="3" tint="0.749961851863155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/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/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/>
      <diagonal/>
    </border>
    <border>
      <left style="thin">
        <color theme="3" tint="0.749961851863155"/>
      </left>
      <right style="thin">
        <color theme="0"/>
      </right>
      <top style="thin">
        <color theme="1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1"/>
      </top>
      <bottom style="thin">
        <color theme="3" tint="0.749961851863155"/>
      </bottom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1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1"/>
      </bottom>
      <diagonal/>
    </border>
    <border>
      <left style="thin">
        <color theme="3" tint="0.749961851863155"/>
      </left>
      <right style="thin">
        <color theme="0"/>
      </right>
      <top style="thin">
        <color theme="0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0"/>
      </top>
      <bottom style="thin">
        <color theme="3" tint="0.749961851863155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2" fillId="2" borderId="0" xfId="0" applyFont="1" applyFill="1" applyAlignment="1">
      <alignment vertical="center"/>
    </xf>
    <xf numFmtId="0" fontId="7" fillId="2" borderId="0" xfId="0" applyFont="1" applyFill="1" applyAlignment="1">
      <alignment horizontal="right"/>
    </xf>
    <xf numFmtId="0" fontId="0" fillId="2" borderId="0" xfId="0" applyFill="1"/>
    <xf numFmtId="0" fontId="4" fillId="4" borderId="1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left" vertical="center"/>
    </xf>
    <xf numFmtId="0" fontId="4" fillId="5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left" vertical="center"/>
    </xf>
    <xf numFmtId="164" fontId="3" fillId="2" borderId="11" xfId="0" applyNumberFormat="1" applyFont="1" applyFill="1" applyBorder="1" applyAlignment="1">
      <alignment horizontal="right" vertical="center"/>
    </xf>
    <xf numFmtId="165" fontId="3" fillId="2" borderId="10" xfId="0" applyNumberFormat="1" applyFont="1" applyFill="1" applyBorder="1" applyAlignment="1">
      <alignment horizontal="right" vertical="center"/>
    </xf>
    <xf numFmtId="165" fontId="3" fillId="2" borderId="11" xfId="0" applyNumberFormat="1" applyFont="1" applyFill="1" applyBorder="1" applyAlignment="1">
      <alignment horizontal="right"/>
    </xf>
    <xf numFmtId="9" fontId="3" fillId="2" borderId="10" xfId="0" applyNumberFormat="1" applyFont="1" applyFill="1" applyBorder="1" applyAlignment="1">
      <alignment horizontal="right" vertical="center"/>
    </xf>
    <xf numFmtId="9" fontId="3" fillId="2" borderId="10" xfId="0" applyNumberFormat="1" applyFont="1" applyFill="1" applyBorder="1"/>
    <xf numFmtId="0" fontId="1" fillId="7" borderId="0" xfId="0" applyFont="1" applyFill="1"/>
    <xf numFmtId="0" fontId="0" fillId="7" borderId="0" xfId="0" applyFill="1"/>
    <xf numFmtId="0" fontId="0" fillId="8" borderId="0" xfId="0" applyFill="1"/>
    <xf numFmtId="0" fontId="4" fillId="3" borderId="12" xfId="0" applyFont="1" applyFill="1" applyBorder="1" applyAlignment="1">
      <alignment horizontal="left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/>
    </xf>
    <xf numFmtId="165" fontId="1" fillId="2" borderId="13" xfId="0" applyNumberFormat="1" applyFont="1" applyFill="1" applyBorder="1" applyAlignment="1">
      <alignment horizontal="right" vertical="center"/>
    </xf>
    <xf numFmtId="165" fontId="2" fillId="2" borderId="13" xfId="0" applyNumberFormat="1" applyFont="1" applyFill="1" applyBorder="1" applyAlignment="1">
      <alignment horizontal="right" vertical="center"/>
    </xf>
    <xf numFmtId="9" fontId="2" fillId="2" borderId="13" xfId="0" applyNumberFormat="1" applyFont="1" applyFill="1" applyBorder="1"/>
    <xf numFmtId="165" fontId="2" fillId="2" borderId="14" xfId="0" applyNumberFormat="1" applyFont="1" applyFill="1" applyBorder="1" applyAlignment="1">
      <alignment horizontal="right"/>
    </xf>
    <xf numFmtId="165" fontId="2" fillId="2" borderId="13" xfId="0" applyNumberFormat="1" applyFont="1" applyFill="1" applyBorder="1" applyAlignment="1">
      <alignment horizontal="right"/>
    </xf>
    <xf numFmtId="165" fontId="2" fillId="2" borderId="15" xfId="0" applyNumberFormat="1" applyFont="1" applyFill="1" applyBorder="1" applyAlignment="1">
      <alignment horizontal="right" vertical="center"/>
    </xf>
    <xf numFmtId="9" fontId="2" fillId="2" borderId="15" xfId="0" applyNumberFormat="1" applyFont="1" applyFill="1" applyBorder="1"/>
    <xf numFmtId="165" fontId="2" fillId="2" borderId="16" xfId="0" applyNumberFormat="1" applyFont="1" applyFill="1" applyBorder="1" applyAlignment="1">
      <alignment horizontal="right"/>
    </xf>
    <xf numFmtId="165" fontId="2" fillId="2" borderId="15" xfId="0" applyNumberFormat="1" applyFont="1" applyFill="1" applyBorder="1" applyAlignment="1">
      <alignment horizontal="right"/>
    </xf>
    <xf numFmtId="165" fontId="3" fillId="2" borderId="10" xfId="0" applyNumberFormat="1" applyFont="1" applyFill="1" applyBorder="1" applyAlignment="1">
      <alignment horizontal="right"/>
    </xf>
    <xf numFmtId="166" fontId="0" fillId="8" borderId="0" xfId="0" applyNumberFormat="1" applyFill="1"/>
    <xf numFmtId="0" fontId="2" fillId="2" borderId="17" xfId="0" applyFont="1" applyFill="1" applyBorder="1" applyAlignment="1">
      <alignment horizontal="left" vertical="center"/>
    </xf>
    <xf numFmtId="165" fontId="1" fillId="2" borderId="18" xfId="0" applyNumberFormat="1" applyFont="1" applyFill="1" applyBorder="1" applyAlignment="1">
      <alignment horizontal="right" vertical="center"/>
    </xf>
    <xf numFmtId="165" fontId="2" fillId="2" borderId="18" xfId="0" applyNumberFormat="1" applyFont="1" applyFill="1" applyBorder="1" applyAlignment="1">
      <alignment horizontal="right" vertical="center"/>
    </xf>
    <xf numFmtId="9" fontId="2" fillId="2" borderId="18" xfId="0" applyNumberFormat="1" applyFont="1" applyFill="1" applyBorder="1" applyAlignment="1">
      <alignment horizontal="right" vertical="center"/>
    </xf>
    <xf numFmtId="164" fontId="2" fillId="2" borderId="19" xfId="0" applyNumberFormat="1" applyFont="1" applyFill="1" applyBorder="1" applyAlignment="1">
      <alignment horizontal="right" vertical="center"/>
    </xf>
    <xf numFmtId="9" fontId="2" fillId="2" borderId="15" xfId="0" applyNumberFormat="1" applyFont="1" applyFill="1" applyBorder="1" applyAlignment="1">
      <alignment horizontal="right" vertical="center"/>
    </xf>
    <xf numFmtId="164" fontId="2" fillId="2" borderId="16" xfId="0" applyNumberFormat="1" applyFont="1" applyFill="1" applyBorder="1" applyAlignment="1">
      <alignment horizontal="right" vertical="center"/>
    </xf>
    <xf numFmtId="164" fontId="0" fillId="8" borderId="0" xfId="0" applyNumberFormat="1" applyFill="1"/>
    <xf numFmtId="164" fontId="0" fillId="2" borderId="0" xfId="0" applyNumberFormat="1" applyFill="1"/>
    <xf numFmtId="164" fontId="1" fillId="2" borderId="0" xfId="0" applyNumberFormat="1" applyFont="1" applyFill="1"/>
    <xf numFmtId="0" fontId="5" fillId="7" borderId="0" xfId="0" applyFont="1" applyFill="1" applyAlignment="1">
      <alignment horizontal="left" vertical="center"/>
    </xf>
    <xf numFmtId="0" fontId="6" fillId="7" borderId="0" xfId="0" applyFont="1" applyFill="1" applyAlignment="1">
      <alignment horizontal="left" vertical="center"/>
    </xf>
    <xf numFmtId="0" fontId="7" fillId="2" borderId="0" xfId="0" applyFont="1" applyFill="1" applyAlignment="1">
      <alignment horizontal="right"/>
    </xf>
    <xf numFmtId="0" fontId="4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left"/>
    </xf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9" fillId="7" borderId="0" xfId="0" applyFont="1" applyFill="1" applyAlignment="1">
      <alignment horizontal="left" vertical="center"/>
    </xf>
    <xf numFmtId="0" fontId="0" fillId="0" borderId="0" xfId="0" applyFill="1"/>
    <xf numFmtId="14" fontId="0" fillId="0" borderId="0" xfId="0" applyNumberFormat="1" applyFill="1"/>
    <xf numFmtId="164" fontId="0" fillId="0" borderId="0" xfId="0" applyNumberFormat="1" applyFill="1"/>
    <xf numFmtId="0" fontId="11" fillId="0" borderId="0" xfId="0" applyFont="1" applyFill="1" applyAlignment="1">
      <alignment horizontal="center"/>
    </xf>
  </cellXfs>
  <cellStyles count="1">
    <cellStyle name="Normal" xfId="0" builtinId="0"/>
  </cellStyles>
  <dxfs count="37">
    <dxf>
      <font>
        <b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FF0000"/>
      </font>
    </dxf>
    <dxf>
      <font>
        <color rgb="FF008000"/>
      </font>
    </dxf>
    <dxf>
      <numFmt numFmtId="164" formatCode="&quot;$&quot;#,##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m/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theme="6" tint="-0.24994659260841701"/>
        </patternFill>
      </fill>
    </dxf>
    <dxf>
      <fill>
        <patternFill>
          <bgColor theme="0"/>
        </patternFill>
      </fill>
      <border>
        <vertical/>
        <horizontal/>
      </border>
    </dxf>
  </dxfs>
  <tableStyles count="1" defaultTableStyle="TableStyleMedium2" defaultPivotStyle="PivotStyleLight16">
    <tableStyle name="TableStyleTransaction" pivot="0" count="3" xr9:uid="{4AE6241F-862A-4E4D-8780-BD61E74FC912}">
      <tableStyleElement type="wholeTable" dxfId="36"/>
      <tableStyleElement type="headerRow" dxfId="35"/>
      <tableStyleElement type="firstRowStripe" dxfId="34"/>
    </tableStyle>
  </tableStyles>
  <colors>
    <mruColors>
      <color rgb="FF263C18"/>
      <color rgb="FF1C2C12"/>
      <color rgb="FFFF5050"/>
      <color rgb="FFC864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3</xdr:row>
          <xdr:rowOff>9525</xdr:rowOff>
        </xdr:from>
        <xdr:to>
          <xdr:col>2</xdr:col>
          <xdr:colOff>1209675</xdr:colOff>
          <xdr:row>5</xdr:row>
          <xdr:rowOff>9525</xdr:rowOff>
        </xdr:to>
        <xdr:sp macro="" textlink="">
          <xdr:nvSpPr>
            <xdr:cNvPr id="2051" name="Button_Import_Dat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1038225</xdr:colOff>
          <xdr:row>3</xdr:row>
          <xdr:rowOff>28575</xdr:rowOff>
        </xdr:from>
        <xdr:to>
          <xdr:col>3</xdr:col>
          <xdr:colOff>981075</xdr:colOff>
          <xdr:row>5</xdr:row>
          <xdr:rowOff>19050</xdr:rowOff>
        </xdr:to>
        <xdr:sp macro="" textlink="">
          <xdr:nvSpPr>
            <xdr:cNvPr id="3073" name="Button_Import_Data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2943225</xdr:colOff>
          <xdr:row>3</xdr:row>
          <xdr:rowOff>38100</xdr:rowOff>
        </xdr:from>
        <xdr:to>
          <xdr:col>3</xdr:col>
          <xdr:colOff>3971925</xdr:colOff>
          <xdr:row>5</xdr:row>
          <xdr:rowOff>28575</xdr:rowOff>
        </xdr:to>
        <xdr:sp macro="" textlink="">
          <xdr:nvSpPr>
            <xdr:cNvPr id="3074" name="Button_Import_Data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4</xdr:row>
      <xdr:rowOff>0</xdr:rowOff>
    </xdr:from>
    <xdr:to>
      <xdr:col>2</xdr:col>
      <xdr:colOff>1038225</xdr:colOff>
      <xdr:row>5</xdr:row>
      <xdr:rowOff>66676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C707A8B-4953-436F-8CD8-0ED3F9E6A9F2}"/>
            </a:ext>
          </a:extLst>
        </xdr:cNvPr>
        <xdr:cNvSpPr txBox="1"/>
      </xdr:nvSpPr>
      <xdr:spPr>
        <a:xfrm>
          <a:off x="447675" y="762000"/>
          <a:ext cx="2124075" cy="25717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i="1" u="none" strike="noStrike">
              <a:solidFill>
                <a:schemeClr val="tx2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Press to import and process data →</a:t>
          </a:r>
          <a:r>
            <a:rPr lang="en-US" sz="1000" i="1">
              <a:solidFill>
                <a:schemeClr val="tx2">
                  <a:lumMod val="50000"/>
                  <a:lumOff val="50000"/>
                </a:schemeClr>
              </a:solidFill>
            </a:rPr>
            <a:t> </a:t>
          </a:r>
          <a:endParaRPr lang="en-US" sz="1000" i="1" kern="1200">
            <a:solidFill>
              <a:schemeClr val="tx2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</xdr:col>
      <xdr:colOff>1390651</xdr:colOff>
      <xdr:row>4</xdr:row>
      <xdr:rowOff>0</xdr:rowOff>
    </xdr:from>
    <xdr:to>
      <xdr:col>3</xdr:col>
      <xdr:colOff>2857501</xdr:colOff>
      <xdr:row>5</xdr:row>
      <xdr:rowOff>66676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22FB729-CEA8-4803-838B-A15B943E8DBB}"/>
            </a:ext>
          </a:extLst>
        </xdr:cNvPr>
        <xdr:cNvSpPr txBox="1"/>
      </xdr:nvSpPr>
      <xdr:spPr>
        <a:xfrm>
          <a:off x="4010026" y="762000"/>
          <a:ext cx="1466850" cy="25717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i="1" u="none" strike="noStrike">
              <a:solidFill>
                <a:schemeClr val="tx2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Press to save changes →</a:t>
          </a:r>
          <a:r>
            <a:rPr lang="en-US" sz="1000" i="1">
              <a:solidFill>
                <a:schemeClr val="tx2">
                  <a:lumMod val="50000"/>
                  <a:lumOff val="50000"/>
                </a:schemeClr>
              </a:solidFill>
            </a:rPr>
            <a:t> </a:t>
          </a:r>
          <a:endParaRPr lang="en-US" sz="1000" i="1" kern="1200">
            <a:solidFill>
              <a:schemeClr val="tx2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9E009158-57B2-4859-9B9C-A9EF32623015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B43DF02-E270-41D7-BB9C-77150600C3E7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3B5D465D-4229-40F4-BB51-D0718D15D821}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D9E31B5-BB1D-4BBA-B894-AEF18AA8010E}" name="Transactions" displayName="Transactions" ref="B7:F51" totalsRowShown="0" headerRowDxfId="0" dataDxfId="6">
  <autoFilter ref="B7:F51" xr:uid="{0D9E31B5-BB1D-4BBA-B894-AEF18AA8010E}"/>
  <tableColumns count="5">
    <tableColumn id="1" xr3:uid="{605F5924-F985-4174-AF2E-CE26F8E4AA64}" name="DATE" dataDxfId="5"/>
    <tableColumn id="2" xr3:uid="{7CF557CF-F365-4B07-950A-556441DCE09B}" name="AMOUNT" dataDxfId="3"/>
    <tableColumn id="3" xr3:uid="{885E77BB-7EDC-4D4D-9973-00AC1160BEB7}" name="DESCRIPTION" dataDxfId="4"/>
    <tableColumn id="4" xr3:uid="{26DE571A-1DF3-4A7E-930E-C66FF67855F6}" name="INSTITUTION" dataDxfId="8"/>
    <tableColumn id="5" xr3:uid="{D9FD4995-25FE-47E7-94D1-BF32279DD462}" name="CATEGORY" dataDxfId="7"/>
  </tableColumns>
  <tableStyleInfo name="TableStyleTransaction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FBE6F-388C-4135-89ED-DD9689D77361}">
  <sheetPr codeName="Sheet1">
    <tabColor theme="7" tint="0.39997558519241921"/>
  </sheetPr>
  <dimension ref="B1:O36"/>
  <sheetViews>
    <sheetView tabSelected="1" zoomScale="115" zoomScaleNormal="115" workbookViewId="0">
      <selection activeCell="C30" sqref="C30"/>
    </sheetView>
  </sheetViews>
  <sheetFormatPr defaultColWidth="8.85546875" defaultRowHeight="12.75" x14ac:dyDescent="0.2"/>
  <cols>
    <col min="1" max="1" width="6.7109375" style="1" customWidth="1"/>
    <col min="2" max="2" width="28.28515625" style="1" customWidth="1"/>
    <col min="3" max="3" width="16.28515625" style="1" customWidth="1"/>
    <col min="4" max="7" width="15.28515625" style="1" customWidth="1"/>
    <col min="8" max="13" width="12.85546875" style="1" customWidth="1"/>
    <col min="14" max="15" width="14.28515625" style="1" customWidth="1"/>
    <col min="16" max="16384" width="8.85546875" style="1"/>
  </cols>
  <sheetData>
    <row r="1" spans="2:15" s="22" customFormat="1" ht="14.45" customHeight="1" x14ac:dyDescent="0.2">
      <c r="B1" s="50" t="s">
        <v>20</v>
      </c>
      <c r="C1" s="51"/>
    </row>
    <row r="2" spans="2:15" s="22" customFormat="1" ht="14.45" customHeight="1" x14ac:dyDescent="0.2">
      <c r="B2" s="51"/>
      <c r="C2" s="51"/>
    </row>
    <row r="3" spans="2:15" ht="14.45" customHeight="1" x14ac:dyDescent="0.2"/>
    <row r="4" spans="2:15" s="2" customFormat="1" ht="14.45" customHeight="1" x14ac:dyDescent="0.25">
      <c r="F4" s="9" t="s">
        <v>0</v>
      </c>
      <c r="G4" s="10" t="s">
        <v>1</v>
      </c>
      <c r="H4" s="5"/>
      <c r="I4" s="5"/>
      <c r="J4" s="5"/>
      <c r="K4" s="5"/>
      <c r="L4" s="5"/>
      <c r="M4" s="5"/>
      <c r="N4" s="3"/>
      <c r="O4" s="3"/>
    </row>
    <row r="5" spans="2:15" s="2" customFormat="1" ht="15" x14ac:dyDescent="0.25">
      <c r="B5" s="4" t="s">
        <v>22</v>
      </c>
      <c r="D5" s="52" t="s">
        <v>21</v>
      </c>
      <c r="E5" s="52"/>
      <c r="F5" s="11" t="s">
        <v>62</v>
      </c>
      <c r="G5" s="12">
        <v>2024</v>
      </c>
      <c r="H5" s="5"/>
      <c r="I5" s="5"/>
      <c r="J5" s="5"/>
      <c r="K5" s="5"/>
      <c r="L5" s="5"/>
      <c r="M5" s="5"/>
    </row>
    <row r="6" spans="2:15" s="2" customFormat="1" ht="14.45" customHeight="1" x14ac:dyDescent="0.25">
      <c r="B6" s="1"/>
      <c r="C6" s="1"/>
      <c r="D6" s="1"/>
      <c r="E6" s="1"/>
      <c r="G6" s="1"/>
      <c r="H6" s="5"/>
      <c r="I6" s="5"/>
      <c r="J6" s="5"/>
      <c r="K6" s="5"/>
      <c r="L6" s="5"/>
      <c r="M6" s="5"/>
      <c r="N6" s="1"/>
      <c r="O6" s="1"/>
    </row>
    <row r="7" spans="2:15" s="2" customFormat="1" ht="14.45" customHeight="1" x14ac:dyDescent="0.25">
      <c r="B7" s="53" t="str">
        <f>"Breakdown - "&amp;F5&amp;" "&amp;current_year</f>
        <v>Breakdown - January 2024</v>
      </c>
      <c r="C7" s="53"/>
      <c r="D7" s="53"/>
      <c r="E7" s="53"/>
      <c r="F7" s="53"/>
      <c r="G7" s="53"/>
      <c r="H7" s="5"/>
      <c r="I7" s="5"/>
      <c r="J7" s="5"/>
      <c r="K7" s="5"/>
      <c r="L7" s="5"/>
      <c r="M7" s="5"/>
      <c r="N7" s="5"/>
      <c r="O7" s="1"/>
    </row>
    <row r="8" spans="2:15" s="2" customFormat="1" ht="14.45" customHeight="1" x14ac:dyDescent="0.25">
      <c r="B8" s="1"/>
      <c r="C8" s="1"/>
      <c r="D8" s="1"/>
      <c r="E8" s="1"/>
      <c r="G8" s="1"/>
      <c r="H8" s="5"/>
      <c r="I8" s="5"/>
      <c r="J8" s="5"/>
      <c r="K8" s="5"/>
      <c r="L8" s="5"/>
      <c r="M8" s="5"/>
      <c r="N8" s="1"/>
      <c r="O8" s="1"/>
    </row>
    <row r="9" spans="2:15" s="2" customFormat="1" ht="14.45" customHeight="1" x14ac:dyDescent="0.25">
      <c r="B9" s="6" t="s">
        <v>2</v>
      </c>
      <c r="C9" s="7" t="s">
        <v>15</v>
      </c>
      <c r="D9" s="7" t="s">
        <v>14</v>
      </c>
      <c r="E9" s="7" t="s">
        <v>18</v>
      </c>
      <c r="F9" s="7" t="s">
        <v>16</v>
      </c>
      <c r="G9" s="8" t="s">
        <v>17</v>
      </c>
      <c r="H9" s="5"/>
      <c r="I9" s="5"/>
      <c r="J9" s="5"/>
      <c r="K9" s="5"/>
      <c r="L9" s="5"/>
      <c r="M9" s="5"/>
      <c r="N9" s="1"/>
      <c r="O9" s="1"/>
    </row>
    <row r="10" spans="2:15" s="2" customFormat="1" ht="14.45" customHeight="1" x14ac:dyDescent="0.25">
      <c r="B10" s="40" t="str">
        <f>INDEX(Income,1)</f>
        <v>Employment</v>
      </c>
      <c r="C10" s="41">
        <f ca="1">ABS(SUMIFS(INDIRECT("Transactions[AMOUNT]"), INDIRECT("Transactions[CATEGORY]"), B10))</f>
        <v>2870.56</v>
      </c>
      <c r="D10" s="42">
        <v>3000</v>
      </c>
      <c r="E10" s="43">
        <f ca="1">C10/D10</f>
        <v>0.95685333333333333</v>
      </c>
      <c r="F10" s="42">
        <f ca="1">IF(D10-C10&gt;0,D10-C10,"-")</f>
        <v>129.44000000000005</v>
      </c>
      <c r="G10" s="44" t="str">
        <f ca="1">IF(C10-D10&gt;0,C10-D10,"-")</f>
        <v>-</v>
      </c>
      <c r="H10" s="5"/>
      <c r="I10" s="48"/>
      <c r="J10" s="5"/>
      <c r="K10" s="5"/>
      <c r="L10" s="5"/>
      <c r="M10" s="5"/>
      <c r="N10" s="1"/>
      <c r="O10" s="1"/>
    </row>
    <row r="11" spans="2:15" s="2" customFormat="1" ht="14.45" customHeight="1" x14ac:dyDescent="0.25">
      <c r="B11" s="40" t="str">
        <f>INDEX(Income,2)</f>
        <v>HSA</v>
      </c>
      <c r="C11" s="41">
        <f ca="1">ABS(SUMIFS(INDIRECT("Transactions[AMOUNT]"), INDIRECT("Transactions[CATEGORY]"), B11))</f>
        <v>288.45000000000005</v>
      </c>
      <c r="D11" s="34">
        <v>300</v>
      </c>
      <c r="E11" s="45">
        <f ca="1">C11/D11</f>
        <v>0.96150000000000013</v>
      </c>
      <c r="F11" s="34">
        <f ca="1">IF(D11-C11&gt;0,D11-C11,"-")</f>
        <v>11.549999999999955</v>
      </c>
      <c r="G11" s="46" t="str">
        <f ca="1">IF(C11-D11&gt;0,C11-D11,"-")</f>
        <v>-</v>
      </c>
      <c r="H11" s="5"/>
      <c r="I11" s="5"/>
      <c r="J11" s="5"/>
      <c r="K11" s="5"/>
      <c r="L11" s="5"/>
      <c r="M11" s="5"/>
      <c r="N11" s="1"/>
      <c r="O11" s="1"/>
    </row>
    <row r="12" spans="2:15" s="2" customFormat="1" ht="14.45" customHeight="1" x14ac:dyDescent="0.25">
      <c r="B12" s="16" t="s">
        <v>12</v>
      </c>
      <c r="C12" s="18">
        <f ca="1">SUM(C10:C11)</f>
        <v>3159.01</v>
      </c>
      <c r="D12" s="18">
        <f>SUM(D10:D11)</f>
        <v>3300</v>
      </c>
      <c r="E12" s="20">
        <f ca="1">C12/D12</f>
        <v>0.95727575757575767</v>
      </c>
      <c r="F12" s="18">
        <f ca="1">IF(D12-C12&gt;0,D12-C12,"-")</f>
        <v>140.98999999999978</v>
      </c>
      <c r="G12" s="17" t="str">
        <f ca="1">IF(C12-D12&gt;0,C12-D12,"-")</f>
        <v>-</v>
      </c>
      <c r="H12" s="5"/>
      <c r="I12" s="5"/>
      <c r="J12" s="5"/>
      <c r="K12" s="5"/>
      <c r="L12" s="5"/>
      <c r="M12" s="5"/>
      <c r="N12" s="1"/>
      <c r="O12" s="1"/>
    </row>
    <row r="13" spans="2:15" s="2" customFormat="1" ht="14.45" customHeight="1" x14ac:dyDescent="0.25">
      <c r="B13" s="1"/>
      <c r="C13" s="1"/>
      <c r="D13" s="1"/>
      <c r="E13" s="1"/>
      <c r="G13" s="1"/>
      <c r="H13" s="5"/>
      <c r="I13" s="5"/>
      <c r="J13" s="5"/>
      <c r="K13" s="5"/>
      <c r="L13" s="5"/>
      <c r="M13" s="5"/>
      <c r="N13" s="1"/>
      <c r="O13" s="1"/>
    </row>
    <row r="14" spans="2:15" ht="14.45" customHeight="1" x14ac:dyDescent="0.25">
      <c r="B14" s="25" t="s">
        <v>13</v>
      </c>
      <c r="C14" s="26" t="s">
        <v>15</v>
      </c>
      <c r="D14" s="26" t="s">
        <v>14</v>
      </c>
      <c r="E14" s="26" t="s">
        <v>18</v>
      </c>
      <c r="F14" s="26" t="s">
        <v>16</v>
      </c>
      <c r="G14" s="27" t="s">
        <v>17</v>
      </c>
      <c r="H14" s="5"/>
      <c r="I14" s="5"/>
      <c r="J14" s="5"/>
      <c r="K14" s="5"/>
      <c r="L14" s="5"/>
      <c r="M14" s="5"/>
    </row>
    <row r="15" spans="2:15" ht="14.45" customHeight="1" x14ac:dyDescent="0.25">
      <c r="B15" s="28" t="str">
        <f>INDEX(Expenses,1)</f>
        <v>Car Maintainence and Insurance</v>
      </c>
      <c r="C15" s="29">
        <f ca="1">ABS(SUMIFS(INDIRECT("Transactions[AMOUNT]"), INDIRECT("Transactions[CATEGORY]"), B15))</f>
        <v>66.97</v>
      </c>
      <c r="D15" s="30">
        <v>100</v>
      </c>
      <c r="E15" s="31">
        <f t="shared" ref="E15:E20" ca="1" si="0">C15/D15</f>
        <v>0.66969999999999996</v>
      </c>
      <c r="F15" s="33">
        <f t="shared" ref="F15:F20" ca="1" si="1">IF(D15-C15&gt;0,D15-C15,"-")</f>
        <v>33.03</v>
      </c>
      <c r="G15" s="32" t="str">
        <f t="shared" ref="G15:G20" ca="1" si="2">IF(C15-D15&gt;0,C15-D15,"-")</f>
        <v>-</v>
      </c>
      <c r="H15" s="5"/>
      <c r="I15" s="5"/>
      <c r="J15" s="5"/>
      <c r="K15" s="5"/>
      <c r="L15" s="5"/>
      <c r="M15" s="5"/>
    </row>
    <row r="16" spans="2:15" ht="14.45" customHeight="1" x14ac:dyDescent="0.25">
      <c r="B16" s="28" t="str">
        <f>INDEX(Expenses,2)</f>
        <v>Gas</v>
      </c>
      <c r="C16" s="29">
        <f t="shared" ref="C16:C24" ca="1" si="3">ABS(SUMIFS(INDIRECT("Transactions[AMOUNT]"), INDIRECT("Transactions[CATEGORY]"), B16))</f>
        <v>45</v>
      </c>
      <c r="D16" s="30">
        <v>100</v>
      </c>
      <c r="E16" s="31">
        <f t="shared" ca="1" si="0"/>
        <v>0.45</v>
      </c>
      <c r="F16" s="33">
        <f t="shared" ca="1" si="1"/>
        <v>55</v>
      </c>
      <c r="G16" s="32" t="str">
        <f t="shared" ca="1" si="2"/>
        <v>-</v>
      </c>
      <c r="H16" s="5"/>
      <c r="I16" s="5"/>
      <c r="J16" s="5"/>
      <c r="K16" s="5"/>
      <c r="L16" s="5"/>
      <c r="M16" s="5"/>
    </row>
    <row r="17" spans="2:13" ht="14.45" customHeight="1" x14ac:dyDescent="0.25">
      <c r="B17" s="28" t="str">
        <f>INDEX(Expenses,3)</f>
        <v>Groceries</v>
      </c>
      <c r="C17" s="29">
        <f t="shared" ca="1" si="3"/>
        <v>569.22</v>
      </c>
      <c r="D17" s="30">
        <v>500</v>
      </c>
      <c r="E17" s="31">
        <f t="shared" ca="1" si="0"/>
        <v>1.1384400000000001</v>
      </c>
      <c r="F17" s="33" t="str">
        <f t="shared" ca="1" si="1"/>
        <v>-</v>
      </c>
      <c r="G17" s="32">
        <f t="shared" ca="1" si="2"/>
        <v>69.220000000000027</v>
      </c>
      <c r="H17" s="5"/>
      <c r="I17" s="5"/>
      <c r="J17" s="5"/>
      <c r="K17" s="5"/>
      <c r="L17" s="5"/>
      <c r="M17" s="5"/>
    </row>
    <row r="18" spans="2:13" ht="14.45" customHeight="1" x14ac:dyDescent="0.25">
      <c r="B18" s="28" t="str">
        <f>INDEX(Expenses,4)</f>
        <v>Loan Payments</v>
      </c>
      <c r="C18" s="29">
        <f t="shared" ca="1" si="3"/>
        <v>0</v>
      </c>
      <c r="D18" s="30">
        <v>100</v>
      </c>
      <c r="E18" s="31">
        <f t="shared" ca="1" si="0"/>
        <v>0</v>
      </c>
      <c r="F18" s="33">
        <f t="shared" ca="1" si="1"/>
        <v>100</v>
      </c>
      <c r="G18" s="32" t="str">
        <f t="shared" ca="1" si="2"/>
        <v>-</v>
      </c>
      <c r="H18" s="5"/>
      <c r="I18" s="5"/>
      <c r="J18" s="5"/>
      <c r="K18" s="5"/>
      <c r="L18" s="5"/>
      <c r="M18" s="5"/>
    </row>
    <row r="19" spans="2:13" ht="14.45" customHeight="1" x14ac:dyDescent="0.25">
      <c r="B19" s="28" t="str">
        <f>INDEX(Expenses,5)</f>
        <v>Medical Expenses</v>
      </c>
      <c r="C19" s="29">
        <f t="shared" ca="1" si="3"/>
        <v>189.77</v>
      </c>
      <c r="D19" s="30">
        <v>200</v>
      </c>
      <c r="E19" s="31">
        <f t="shared" ca="1" si="0"/>
        <v>0.94885000000000008</v>
      </c>
      <c r="F19" s="33">
        <f t="shared" ca="1" si="1"/>
        <v>10.22999999999999</v>
      </c>
      <c r="G19" s="32" t="str">
        <f t="shared" ca="1" si="2"/>
        <v>-</v>
      </c>
      <c r="H19" s="5"/>
      <c r="I19" s="5"/>
      <c r="J19" s="5"/>
      <c r="K19" s="5"/>
      <c r="L19" s="5"/>
      <c r="M19" s="5"/>
    </row>
    <row r="20" spans="2:13" ht="14.45" customHeight="1" x14ac:dyDescent="0.25">
      <c r="B20" s="28" t="str">
        <f>INDEX(Expenses,6)</f>
        <v>Memberships and Subscriptions</v>
      </c>
      <c r="C20" s="29">
        <f t="shared" ca="1" si="3"/>
        <v>62.69</v>
      </c>
      <c r="D20" s="30">
        <v>45</v>
      </c>
      <c r="E20" s="31">
        <f t="shared" ca="1" si="0"/>
        <v>1.393111111111111</v>
      </c>
      <c r="F20" s="33" t="str">
        <f t="shared" ca="1" si="1"/>
        <v>-</v>
      </c>
      <c r="G20" s="32">
        <f t="shared" ca="1" si="2"/>
        <v>17.689999999999998</v>
      </c>
      <c r="H20" s="5"/>
      <c r="I20" s="5"/>
      <c r="J20" s="5"/>
      <c r="K20" s="5"/>
      <c r="L20" s="5"/>
      <c r="M20" s="5"/>
    </row>
    <row r="21" spans="2:13" ht="14.45" customHeight="1" x14ac:dyDescent="0.25">
      <c r="B21" s="28" t="str">
        <f>INDEX(Expenses,7)</f>
        <v>Personal Expenses</v>
      </c>
      <c r="C21" s="29">
        <f t="shared" ca="1" si="3"/>
        <v>174.88</v>
      </c>
      <c r="D21" s="30">
        <v>300</v>
      </c>
      <c r="E21" s="31">
        <f ca="1">C21/D21</f>
        <v>0.5829333333333333</v>
      </c>
      <c r="F21" s="33">
        <f ca="1">IF(D21-C21&gt;0,D21-C21,"-")</f>
        <v>125.12</v>
      </c>
      <c r="G21" s="32" t="str">
        <f ca="1">IF(C21-D21&gt;0,C21-D21,"-")</f>
        <v>-</v>
      </c>
      <c r="H21" s="5"/>
      <c r="I21" s="5"/>
      <c r="J21" s="5"/>
      <c r="K21" s="5"/>
      <c r="L21" s="5"/>
      <c r="M21" s="5"/>
    </row>
    <row r="22" spans="2:13" ht="14.45" customHeight="1" x14ac:dyDescent="0.25">
      <c r="B22" s="28" t="str">
        <f>INDEX(Expenses,5)</f>
        <v>Medical Expenses</v>
      </c>
      <c r="C22" s="29">
        <f t="shared" ca="1" si="3"/>
        <v>189.77</v>
      </c>
      <c r="D22" s="30">
        <v>200</v>
      </c>
      <c r="E22" s="31">
        <f ca="1">C22/D22</f>
        <v>0.94885000000000008</v>
      </c>
      <c r="F22" s="33">
        <f ca="1">IF(D22-C22&gt;0,D22-C22,"-")</f>
        <v>10.22999999999999</v>
      </c>
      <c r="G22" s="32" t="str">
        <f ca="1">IF(C22-D22&gt;0,C22-D22,"-")</f>
        <v>-</v>
      </c>
      <c r="H22" s="5"/>
      <c r="I22" s="5"/>
      <c r="J22" s="5"/>
      <c r="K22" s="5"/>
      <c r="L22" s="5"/>
      <c r="M22" s="5"/>
    </row>
    <row r="23" spans="2:13" ht="14.45" customHeight="1" x14ac:dyDescent="0.25">
      <c r="B23" s="28" t="str">
        <f>INDEX(Expenses,8)</f>
        <v>Rent and Utilities</v>
      </c>
      <c r="C23" s="29">
        <f t="shared" ca="1" si="3"/>
        <v>1000</v>
      </c>
      <c r="D23" s="30">
        <v>1000</v>
      </c>
      <c r="E23" s="31">
        <f ca="1">C23/D23</f>
        <v>1</v>
      </c>
      <c r="F23" s="33" t="str">
        <f ca="1">IF(D23-C23&gt;0,D23-C23,"-")</f>
        <v>-</v>
      </c>
      <c r="G23" s="32" t="str">
        <f ca="1">IF(C23-D23&gt;0,C23-D23,"-")</f>
        <v>-</v>
      </c>
      <c r="H23" s="5"/>
      <c r="I23" s="5"/>
      <c r="J23" s="5"/>
      <c r="K23" s="5"/>
      <c r="L23" s="5"/>
      <c r="M23" s="5"/>
    </row>
    <row r="24" spans="2:13" ht="14.45" customHeight="1" x14ac:dyDescent="0.25">
      <c r="B24" s="28" t="str">
        <f>INDEX(Expenses,9)</f>
        <v>Restaurants</v>
      </c>
      <c r="C24" s="29">
        <f t="shared" ca="1" si="3"/>
        <v>28.93</v>
      </c>
      <c r="D24" s="34">
        <v>300</v>
      </c>
      <c r="E24" s="35">
        <f ca="1">C24/D24</f>
        <v>9.6433333333333329E-2</v>
      </c>
      <c r="F24" s="37">
        <f ca="1">IF(D24-C24&gt;0,D24-C24,"-")</f>
        <v>271.07</v>
      </c>
      <c r="G24" s="36" t="str">
        <f ca="1">IF(C24-D24&gt;0,C24-D24,"-")</f>
        <v>-</v>
      </c>
      <c r="H24" s="5"/>
      <c r="I24" s="5"/>
      <c r="J24" s="5"/>
      <c r="K24" s="5"/>
      <c r="L24" s="5"/>
      <c r="M24" s="5"/>
    </row>
    <row r="25" spans="2:13" ht="14.45" customHeight="1" x14ac:dyDescent="0.25">
      <c r="B25" s="16" t="s">
        <v>12</v>
      </c>
      <c r="C25" s="18">
        <f ca="1">SUM(C15:C24)</f>
        <v>2327.23</v>
      </c>
      <c r="D25" s="18">
        <f>SUM(D15:D24)</f>
        <v>2845</v>
      </c>
      <c r="E25" s="21">
        <f ca="1">C25/D25</f>
        <v>0.81800702987697715</v>
      </c>
      <c r="F25" s="38">
        <f ca="1">IF(D25-C25&gt;0,D25-C25,"-")</f>
        <v>517.77</v>
      </c>
      <c r="G25" s="19" t="str">
        <f ca="1">IF(C25-D25&gt;0,C25-D25,"-")</f>
        <v>-</v>
      </c>
      <c r="H25" s="5"/>
      <c r="I25" s="5"/>
      <c r="J25" s="5"/>
      <c r="K25" s="5"/>
      <c r="L25" s="5"/>
      <c r="M25" s="5"/>
    </row>
    <row r="26" spans="2:13" ht="14.45" customHeight="1" x14ac:dyDescent="0.25">
      <c r="H26" s="5"/>
      <c r="I26" s="5"/>
      <c r="J26" s="5"/>
      <c r="K26" s="5"/>
      <c r="L26" s="5"/>
      <c r="M26" s="5"/>
    </row>
    <row r="27" spans="2:13" ht="14.45" customHeight="1" x14ac:dyDescent="0.25">
      <c r="B27" s="13" t="s">
        <v>19</v>
      </c>
      <c r="C27" s="14" t="s">
        <v>15</v>
      </c>
      <c r="D27" s="14" t="s">
        <v>14</v>
      </c>
      <c r="E27" s="14" t="s">
        <v>18</v>
      </c>
      <c r="F27" s="14" t="s">
        <v>16</v>
      </c>
      <c r="G27" s="15" t="s">
        <v>17</v>
      </c>
      <c r="H27" s="5"/>
      <c r="I27" s="5"/>
      <c r="J27" s="5"/>
      <c r="K27" s="5"/>
      <c r="L27" s="5"/>
      <c r="M27" s="5"/>
    </row>
    <row r="28" spans="2:13" ht="14.45" customHeight="1" x14ac:dyDescent="0.25">
      <c r="B28" s="16" t="s">
        <v>12</v>
      </c>
      <c r="C28" s="18">
        <f ca="1">C12-C25</f>
        <v>831.7800000000002</v>
      </c>
      <c r="D28" s="18">
        <f>D12-D25</f>
        <v>455</v>
      </c>
      <c r="E28" s="21">
        <f ca="1">C28/D28</f>
        <v>1.8280879120879125</v>
      </c>
      <c r="F28" s="38" t="str">
        <f ca="1">IF(D28-C28&gt;0,D28-C28,"-")</f>
        <v>-</v>
      </c>
      <c r="G28" s="19">
        <f ca="1">IF(C28-D28&gt;0,C28-D28,"-")</f>
        <v>376.7800000000002</v>
      </c>
      <c r="I28" s="5"/>
    </row>
    <row r="29" spans="2:13" ht="15" x14ac:dyDescent="0.25">
      <c r="I29" s="5"/>
    </row>
    <row r="30" spans="2:13" ht="15" x14ac:dyDescent="0.25">
      <c r="C30" s="49"/>
      <c r="I30" s="5"/>
    </row>
    <row r="31" spans="2:13" ht="15" x14ac:dyDescent="0.25">
      <c r="I31" s="5"/>
    </row>
    <row r="32" spans="2:13" ht="15" x14ac:dyDescent="0.25">
      <c r="I32" s="5"/>
    </row>
    <row r="33" spans="9:9" ht="15" x14ac:dyDescent="0.25">
      <c r="I33" s="5"/>
    </row>
    <row r="34" spans="9:9" ht="15" x14ac:dyDescent="0.25">
      <c r="I34" s="5"/>
    </row>
    <row r="35" spans="9:9" ht="15" x14ac:dyDescent="0.25">
      <c r="I35" s="5"/>
    </row>
    <row r="36" spans="9:9" ht="15" x14ac:dyDescent="0.25">
      <c r="I36" s="5"/>
    </row>
  </sheetData>
  <mergeCells count="3">
    <mergeCell ref="B1:C2"/>
    <mergeCell ref="D5:E5"/>
    <mergeCell ref="B7:G7"/>
  </mergeCells>
  <conditionalFormatting sqref="E10:E11">
    <cfRule type="dataBar" priority="2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{C3E9393A-56D9-4148-99C1-25B6785953C8}</x14:id>
        </ext>
      </extLst>
    </cfRule>
  </conditionalFormatting>
  <conditionalFormatting sqref="E15:E24">
    <cfRule type="dataBar" priority="5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{798E3044-4757-4D0E-8FFD-E8B6033CA650}</x14:id>
        </ext>
      </extLst>
    </cfRule>
  </conditionalFormatting>
  <conditionalFormatting sqref="E12">
    <cfRule type="dataBar" priority="3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{0986E7CD-7385-4A99-9C76-EB550C99AB8A}</x14:id>
        </ext>
      </extLst>
    </cfRule>
  </conditionalFormatting>
  <conditionalFormatting sqref="C12">
    <cfRule type="cellIs" dxfId="33" priority="4" operator="lessThan">
      <formula>$D$25</formula>
    </cfRule>
  </conditionalFormatting>
  <conditionalFormatting sqref="C25">
    <cfRule type="cellIs" dxfId="32" priority="8" operator="greaterThan">
      <formula>$D$25</formula>
    </cfRule>
  </conditionalFormatting>
  <conditionalFormatting sqref="C28">
    <cfRule type="cellIs" dxfId="31" priority="9" operator="lessThan">
      <formula>0</formula>
    </cfRule>
  </conditionalFormatting>
  <conditionalFormatting sqref="E25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{68F764E6-6DEE-4159-89E5-66D9F82EE862}</x14:id>
        </ext>
      </extLst>
    </cfRule>
  </conditionalFormatting>
  <conditionalFormatting sqref="E28">
    <cfRule type="dataBar" priority="1">
      <dataBar>
        <cfvo type="num" val="0"/>
        <cfvo type="num" val="1"/>
        <color theme="6" tint="0.59999389629810485"/>
      </dataBar>
      <extLst>
        <ext xmlns:x14="http://schemas.microsoft.com/office/spreadsheetml/2009/9/main" uri="{B025F937-C7B1-47D3-B67F-A62EFF666E3E}">
          <x14:id>{70C27285-4586-4910-976B-F59421BC01F4}</x14:id>
        </ext>
      </extLst>
    </cfRule>
  </conditionalFormatting>
  <dataValidations disablePrompts="1" count="2">
    <dataValidation type="list" operator="greaterThan" allowBlank="1" showInputMessage="1" showErrorMessage="1" sqref="G5" xr:uid="{EF0E957F-8821-420D-82AD-87EA9DFFB1BE}">
      <formula1>"2023,2024"</formula1>
    </dataValidation>
    <dataValidation type="list" allowBlank="1" showInputMessage="1" showErrorMessage="1" sqref="F5" xr:uid="{A07845C6-D67A-43AD-83CA-E9F8070D8178}">
      <formula1>"January,February,March,April,May,June,July,August,September,October,November,December"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_Import_Data">
              <controlPr defaultSize="0" print="0" autoFill="0" autoPict="0" macro="[0]!ImportCSV">
                <anchor moveWithCells="1" sizeWithCells="1">
                  <from>
                    <xdr:col>2</xdr:col>
                    <xdr:colOff>57150</xdr:colOff>
                    <xdr:row>3</xdr:row>
                    <xdr:rowOff>9525</xdr:rowOff>
                  </from>
                  <to>
                    <xdr:col>2</xdr:col>
                    <xdr:colOff>1209675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E9393A-56D9-4148-99C1-25B6785953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E10:E11</xm:sqref>
        </x14:conditionalFormatting>
        <x14:conditionalFormatting xmlns:xm="http://schemas.microsoft.com/office/excel/2006/main">
          <x14:cfRule type="dataBar" id="{798E3044-4757-4D0E-8FFD-E8B6033CA6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E15:E24</xm:sqref>
        </x14:conditionalFormatting>
        <x14:conditionalFormatting xmlns:xm="http://schemas.microsoft.com/office/excel/2006/main">
          <x14:cfRule type="dataBar" id="{0986E7CD-7385-4A99-9C76-EB550C99AB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E12</xm:sqref>
        </x14:conditionalFormatting>
        <x14:conditionalFormatting xmlns:xm="http://schemas.microsoft.com/office/excel/2006/main">
          <x14:cfRule type="dataBar" id="{68F764E6-6DEE-4159-89E5-66D9F82EE86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E25</xm:sqref>
        </x14:conditionalFormatting>
        <x14:conditionalFormatting xmlns:xm="http://schemas.microsoft.com/office/excel/2006/main">
          <x14:cfRule type="dataBar" id="{70C27285-4586-4910-976B-F59421BC01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FC2EB-65BE-4875-961F-4DBDF8EC6973}">
  <sheetPr codeName="Sheet2"/>
  <dimension ref="B1:F127"/>
  <sheetViews>
    <sheetView topLeftCell="A6" zoomScaleNormal="100" workbookViewId="0">
      <selection activeCell="H25" sqref="H25"/>
    </sheetView>
  </sheetViews>
  <sheetFormatPr defaultRowHeight="15" x14ac:dyDescent="0.25"/>
  <cols>
    <col min="1" max="1" width="6.7109375" style="5" customWidth="1"/>
    <col min="2" max="2" width="16.28515625" style="39" customWidth="1"/>
    <col min="3" max="3" width="16.28515625" style="24" customWidth="1"/>
    <col min="4" max="4" width="119.42578125" style="24" customWidth="1"/>
    <col min="5" max="5" width="22.140625" style="24" customWidth="1"/>
    <col min="6" max="6" width="35.7109375" style="24" customWidth="1"/>
    <col min="7" max="16384" width="9.140625" style="5"/>
  </cols>
  <sheetData>
    <row r="1" spans="2:6" s="23" customFormat="1" x14ac:dyDescent="0.25">
      <c r="B1" s="54" t="s">
        <v>23</v>
      </c>
      <c r="C1" s="54"/>
    </row>
    <row r="2" spans="2:6" s="23" customFormat="1" x14ac:dyDescent="0.25">
      <c r="B2" s="54"/>
      <c r="C2" s="54"/>
    </row>
    <row r="3" spans="2:6" s="55" customFormat="1" x14ac:dyDescent="0.25"/>
    <row r="4" spans="2:6" s="55" customFormat="1" x14ac:dyDescent="0.25"/>
    <row r="5" spans="2:6" s="55" customFormat="1" x14ac:dyDescent="0.25"/>
    <row r="6" spans="2:6" s="55" customFormat="1" x14ac:dyDescent="0.25">
      <c r="B6" s="56"/>
      <c r="C6" s="56"/>
      <c r="D6" s="56"/>
      <c r="E6" s="56"/>
      <c r="F6" s="56"/>
    </row>
    <row r="7" spans="2:6" x14ac:dyDescent="0.25">
      <c r="B7" s="61" t="s">
        <v>25</v>
      </c>
      <c r="C7" s="61" t="s">
        <v>26</v>
      </c>
      <c r="D7" s="61" t="s">
        <v>27</v>
      </c>
      <c r="E7" s="61" t="s">
        <v>31</v>
      </c>
      <c r="F7" s="61" t="s">
        <v>28</v>
      </c>
    </row>
    <row r="8" spans="2:6" x14ac:dyDescent="0.25">
      <c r="B8" s="59">
        <v>45306</v>
      </c>
      <c r="C8" s="60">
        <v>100</v>
      </c>
      <c r="D8" s="58" t="s">
        <v>63</v>
      </c>
      <c r="E8" s="58" t="s">
        <v>37</v>
      </c>
      <c r="F8" s="58" t="s">
        <v>34</v>
      </c>
    </row>
    <row r="9" spans="2:6" x14ac:dyDescent="0.25">
      <c r="B9" s="59">
        <v>45310</v>
      </c>
      <c r="C9" s="60">
        <v>-15.56</v>
      </c>
      <c r="D9" s="58" t="s">
        <v>64</v>
      </c>
      <c r="E9" s="58" t="s">
        <v>35</v>
      </c>
      <c r="F9" s="58" t="s">
        <v>4</v>
      </c>
    </row>
    <row r="10" spans="2:6" x14ac:dyDescent="0.25">
      <c r="B10" s="59">
        <v>45311</v>
      </c>
      <c r="C10" s="60">
        <v>-129.13</v>
      </c>
      <c r="D10" s="58" t="s">
        <v>65</v>
      </c>
      <c r="E10" s="58" t="s">
        <v>35</v>
      </c>
      <c r="F10" s="58" t="s">
        <v>4</v>
      </c>
    </row>
    <row r="11" spans="2:6" x14ac:dyDescent="0.25">
      <c r="B11" s="59">
        <v>45312</v>
      </c>
      <c r="C11" s="60">
        <v>100</v>
      </c>
      <c r="D11" s="58" t="s">
        <v>66</v>
      </c>
      <c r="E11" s="58" t="s">
        <v>37</v>
      </c>
      <c r="F11" s="58" t="s">
        <v>34</v>
      </c>
    </row>
    <row r="12" spans="2:6" x14ac:dyDescent="0.25">
      <c r="B12" s="59">
        <v>45312</v>
      </c>
      <c r="C12" s="60">
        <v>-100</v>
      </c>
      <c r="D12" s="58" t="s">
        <v>42</v>
      </c>
      <c r="E12" s="58" t="s">
        <v>37</v>
      </c>
      <c r="F12" s="58" t="s">
        <v>76</v>
      </c>
    </row>
    <row r="13" spans="2:6" x14ac:dyDescent="0.25">
      <c r="B13" s="59">
        <v>45312</v>
      </c>
      <c r="C13" s="60">
        <v>20</v>
      </c>
      <c r="D13" s="58" t="s">
        <v>67</v>
      </c>
      <c r="E13" s="58" t="s">
        <v>35</v>
      </c>
      <c r="F13" s="58" t="s">
        <v>34</v>
      </c>
    </row>
    <row r="14" spans="2:6" x14ac:dyDescent="0.25">
      <c r="B14" s="59">
        <v>45312</v>
      </c>
      <c r="C14" s="60">
        <v>-212.23</v>
      </c>
      <c r="D14" s="58" t="s">
        <v>68</v>
      </c>
      <c r="E14" s="58" t="s">
        <v>35</v>
      </c>
      <c r="F14" s="58" t="s">
        <v>9</v>
      </c>
    </row>
    <row r="15" spans="2:6" x14ac:dyDescent="0.25">
      <c r="B15" s="59">
        <v>45315</v>
      </c>
      <c r="C15" s="60">
        <v>-50</v>
      </c>
      <c r="D15" s="58" t="s">
        <v>69</v>
      </c>
      <c r="E15" s="58" t="s">
        <v>37</v>
      </c>
      <c r="F15" s="58" t="s">
        <v>34</v>
      </c>
    </row>
    <row r="16" spans="2:6" x14ac:dyDescent="0.25">
      <c r="B16" s="59">
        <v>45318</v>
      </c>
      <c r="C16" s="60">
        <v>-21.63</v>
      </c>
      <c r="D16" s="58" t="s">
        <v>70</v>
      </c>
      <c r="E16" s="58" t="s">
        <v>35</v>
      </c>
      <c r="F16" s="58" t="s">
        <v>6</v>
      </c>
    </row>
    <row r="17" spans="2:6" x14ac:dyDescent="0.25">
      <c r="B17" s="59">
        <v>45319</v>
      </c>
      <c r="C17" s="60">
        <v>-40</v>
      </c>
      <c r="D17" s="58" t="s">
        <v>71</v>
      </c>
      <c r="E17" s="58" t="s">
        <v>35</v>
      </c>
      <c r="F17" s="58" t="s">
        <v>9</v>
      </c>
    </row>
    <row r="18" spans="2:6" x14ac:dyDescent="0.25">
      <c r="B18" s="59">
        <v>45321</v>
      </c>
      <c r="C18" s="60">
        <v>7</v>
      </c>
      <c r="D18" s="58" t="s">
        <v>36</v>
      </c>
      <c r="E18" s="58" t="s">
        <v>35</v>
      </c>
      <c r="F18" s="58" t="s">
        <v>72</v>
      </c>
    </row>
    <row r="19" spans="2:6" x14ac:dyDescent="0.25">
      <c r="B19" s="59">
        <v>45321</v>
      </c>
      <c r="C19" s="60">
        <v>-7.3</v>
      </c>
      <c r="D19" s="58" t="s">
        <v>73</v>
      </c>
      <c r="E19" s="58" t="s">
        <v>35</v>
      </c>
      <c r="F19" s="58" t="s">
        <v>6</v>
      </c>
    </row>
    <row r="20" spans="2:6" x14ac:dyDescent="0.25">
      <c r="B20" s="59">
        <v>45321</v>
      </c>
      <c r="C20" s="60">
        <v>-41.01</v>
      </c>
      <c r="D20" s="58" t="s">
        <v>4</v>
      </c>
      <c r="E20" s="58" t="s">
        <v>35</v>
      </c>
      <c r="F20" s="58" t="s">
        <v>4</v>
      </c>
    </row>
    <row r="21" spans="2:6" x14ac:dyDescent="0.25">
      <c r="B21" s="59">
        <v>45322</v>
      </c>
      <c r="C21" s="60">
        <v>0.12</v>
      </c>
      <c r="D21" s="58" t="s">
        <v>38</v>
      </c>
      <c r="E21" s="58" t="s">
        <v>37</v>
      </c>
      <c r="F21" s="58" t="s">
        <v>34</v>
      </c>
    </row>
    <row r="22" spans="2:6" x14ac:dyDescent="0.25">
      <c r="B22" s="59">
        <v>45292</v>
      </c>
      <c r="C22" s="60">
        <v>-11.75</v>
      </c>
      <c r="D22" s="58" t="s">
        <v>43</v>
      </c>
      <c r="E22" s="58" t="s">
        <v>32</v>
      </c>
      <c r="F22" s="58" t="s">
        <v>7</v>
      </c>
    </row>
    <row r="23" spans="2:6" x14ac:dyDescent="0.25">
      <c r="B23" s="59">
        <v>45292</v>
      </c>
      <c r="C23" s="60">
        <v>-44.93</v>
      </c>
      <c r="D23" s="58" t="s">
        <v>44</v>
      </c>
      <c r="E23" s="58" t="s">
        <v>32</v>
      </c>
      <c r="F23" s="58" t="s">
        <v>3</v>
      </c>
    </row>
    <row r="24" spans="2:6" x14ac:dyDescent="0.25">
      <c r="B24" s="59">
        <v>45292</v>
      </c>
      <c r="C24" s="60">
        <v>38.46</v>
      </c>
      <c r="D24" s="58" t="s">
        <v>48</v>
      </c>
      <c r="E24" s="58" t="s">
        <v>39</v>
      </c>
      <c r="F24" s="58" t="s">
        <v>33</v>
      </c>
    </row>
    <row r="25" spans="2:6" x14ac:dyDescent="0.25">
      <c r="B25" s="59">
        <v>45292</v>
      </c>
      <c r="C25" s="60">
        <v>57.69</v>
      </c>
      <c r="D25" s="58" t="s">
        <v>47</v>
      </c>
      <c r="E25" s="58" t="s">
        <v>39</v>
      </c>
      <c r="F25" s="58" t="s">
        <v>33</v>
      </c>
    </row>
    <row r="26" spans="2:6" x14ac:dyDescent="0.25">
      <c r="B26" s="59">
        <v>45292</v>
      </c>
      <c r="C26" s="60">
        <v>-1000</v>
      </c>
      <c r="D26" s="58" t="s">
        <v>45</v>
      </c>
      <c r="E26" s="58" t="s">
        <v>32</v>
      </c>
      <c r="F26" s="58" t="s">
        <v>5</v>
      </c>
    </row>
    <row r="27" spans="2:6" x14ac:dyDescent="0.25">
      <c r="B27" s="59">
        <v>45293</v>
      </c>
      <c r="C27" s="60">
        <v>-66</v>
      </c>
      <c r="D27" s="58" t="s">
        <v>46</v>
      </c>
      <c r="E27" s="58" t="s">
        <v>32</v>
      </c>
      <c r="F27" s="58" t="s">
        <v>3</v>
      </c>
    </row>
    <row r="28" spans="2:6" x14ac:dyDescent="0.25">
      <c r="B28" s="59">
        <v>45299</v>
      </c>
      <c r="C28" s="60">
        <v>-158</v>
      </c>
      <c r="D28" s="58" t="s">
        <v>49</v>
      </c>
      <c r="E28" s="58" t="s">
        <v>32</v>
      </c>
      <c r="F28" s="58" t="s">
        <v>4</v>
      </c>
    </row>
    <row r="29" spans="2:6" x14ac:dyDescent="0.25">
      <c r="B29" s="59">
        <v>45300</v>
      </c>
      <c r="C29" s="60">
        <v>1000</v>
      </c>
      <c r="D29" s="58" t="s">
        <v>51</v>
      </c>
      <c r="E29" s="58" t="s">
        <v>32</v>
      </c>
      <c r="F29" s="58" t="s">
        <v>34</v>
      </c>
    </row>
    <row r="30" spans="2:6" x14ac:dyDescent="0.25">
      <c r="B30" s="59">
        <v>45300</v>
      </c>
      <c r="C30" s="60">
        <v>500</v>
      </c>
      <c r="D30" s="58" t="s">
        <v>50</v>
      </c>
      <c r="E30" s="58" t="s">
        <v>32</v>
      </c>
      <c r="F30" s="58" t="s">
        <v>34</v>
      </c>
    </row>
    <row r="31" spans="2:6" x14ac:dyDescent="0.25">
      <c r="B31" s="59">
        <v>45304</v>
      </c>
      <c r="C31" s="60">
        <v>-50.94</v>
      </c>
      <c r="D31" s="58" t="s">
        <v>52</v>
      </c>
      <c r="E31" s="58" t="s">
        <v>32</v>
      </c>
      <c r="F31" s="58" t="s">
        <v>7</v>
      </c>
    </row>
    <row r="32" spans="2:6" x14ac:dyDescent="0.25">
      <c r="B32" s="59">
        <v>45305</v>
      </c>
      <c r="C32" s="60">
        <v>57.69</v>
      </c>
      <c r="D32" s="58" t="s">
        <v>47</v>
      </c>
      <c r="E32" s="58" t="s">
        <v>39</v>
      </c>
      <c r="F32" s="58" t="s">
        <v>33</v>
      </c>
    </row>
    <row r="33" spans="2:6" x14ac:dyDescent="0.25">
      <c r="B33" s="59">
        <v>45305</v>
      </c>
      <c r="C33" s="60">
        <v>38.46</v>
      </c>
      <c r="D33" s="58" t="s">
        <v>48</v>
      </c>
      <c r="E33" s="58" t="s">
        <v>39</v>
      </c>
      <c r="F33" s="58" t="s">
        <v>33</v>
      </c>
    </row>
    <row r="34" spans="2:6" x14ac:dyDescent="0.25">
      <c r="B34" s="59">
        <v>45305</v>
      </c>
      <c r="C34" s="60">
        <v>-63</v>
      </c>
      <c r="D34" s="58" t="s">
        <v>53</v>
      </c>
      <c r="E34" s="58" t="s">
        <v>32</v>
      </c>
      <c r="F34" s="58" t="s">
        <v>3</v>
      </c>
    </row>
    <row r="35" spans="2:6" x14ac:dyDescent="0.25">
      <c r="B35" s="59">
        <v>45305</v>
      </c>
      <c r="C35" s="60">
        <v>-152.94999999999999</v>
      </c>
      <c r="D35" s="58" t="s">
        <v>54</v>
      </c>
      <c r="E35" s="58" t="s">
        <v>32</v>
      </c>
      <c r="F35" s="58" t="s">
        <v>4</v>
      </c>
    </row>
    <row r="36" spans="2:6" x14ac:dyDescent="0.25">
      <c r="B36" s="59">
        <v>45310</v>
      </c>
      <c r="C36" s="60">
        <v>-11.83</v>
      </c>
      <c r="D36" s="58" t="s">
        <v>74</v>
      </c>
      <c r="E36" s="58" t="s">
        <v>39</v>
      </c>
      <c r="F36" s="58" t="s">
        <v>29</v>
      </c>
    </row>
    <row r="37" spans="2:6" x14ac:dyDescent="0.25">
      <c r="B37" s="59">
        <v>45311</v>
      </c>
      <c r="C37" s="60">
        <v>-60</v>
      </c>
      <c r="D37" s="58" t="s">
        <v>55</v>
      </c>
      <c r="E37" s="58" t="s">
        <v>32</v>
      </c>
      <c r="F37" s="58" t="s">
        <v>29</v>
      </c>
    </row>
    <row r="38" spans="2:6" x14ac:dyDescent="0.25">
      <c r="B38" s="59">
        <v>45313</v>
      </c>
      <c r="C38" s="60">
        <v>-51.07</v>
      </c>
      <c r="D38" s="58" t="s">
        <v>56</v>
      </c>
      <c r="E38" s="58" t="s">
        <v>32</v>
      </c>
      <c r="F38" s="58" t="s">
        <v>4</v>
      </c>
    </row>
    <row r="39" spans="2:6" x14ac:dyDescent="0.25">
      <c r="B39" s="59">
        <v>45313</v>
      </c>
      <c r="C39" s="60">
        <v>1000</v>
      </c>
      <c r="D39" s="58" t="s">
        <v>51</v>
      </c>
      <c r="E39" s="58" t="s">
        <v>32</v>
      </c>
      <c r="F39" s="58" t="s">
        <v>34</v>
      </c>
    </row>
    <row r="40" spans="2:6" x14ac:dyDescent="0.25">
      <c r="B40" s="59">
        <v>45315</v>
      </c>
      <c r="C40" s="60">
        <v>-500</v>
      </c>
      <c r="D40" s="58" t="s">
        <v>58</v>
      </c>
      <c r="E40" s="58" t="s">
        <v>32</v>
      </c>
      <c r="F40" s="58" t="s">
        <v>9</v>
      </c>
    </row>
    <row r="41" spans="2:6" x14ac:dyDescent="0.25">
      <c r="B41" s="59">
        <v>45315</v>
      </c>
      <c r="C41" s="60">
        <v>-45</v>
      </c>
      <c r="D41" s="58" t="s">
        <v>59</v>
      </c>
      <c r="E41" s="58" t="s">
        <v>32</v>
      </c>
      <c r="F41" s="58" t="s">
        <v>8</v>
      </c>
    </row>
    <row r="42" spans="2:6" x14ac:dyDescent="0.25">
      <c r="B42" s="59">
        <v>45315</v>
      </c>
      <c r="C42" s="60">
        <v>200</v>
      </c>
      <c r="D42" s="58" t="s">
        <v>57</v>
      </c>
      <c r="E42" s="58" t="s">
        <v>32</v>
      </c>
      <c r="F42" s="58" t="s">
        <v>34</v>
      </c>
    </row>
    <row r="43" spans="2:6" x14ac:dyDescent="0.25">
      <c r="B43" s="59">
        <v>45319</v>
      </c>
      <c r="C43" s="60">
        <v>38.46</v>
      </c>
      <c r="D43" s="58" t="s">
        <v>48</v>
      </c>
      <c r="E43" s="58" t="s">
        <v>39</v>
      </c>
      <c r="F43" s="58" t="s">
        <v>33</v>
      </c>
    </row>
    <row r="44" spans="2:6" x14ac:dyDescent="0.25">
      <c r="B44" s="59">
        <v>45319</v>
      </c>
      <c r="C44" s="60">
        <v>57.69</v>
      </c>
      <c r="D44" s="58" t="s">
        <v>47</v>
      </c>
      <c r="E44" s="58" t="s">
        <v>39</v>
      </c>
      <c r="F44" s="58" t="s">
        <v>33</v>
      </c>
    </row>
    <row r="45" spans="2:6" x14ac:dyDescent="0.25">
      <c r="B45" s="59">
        <v>45320</v>
      </c>
      <c r="C45" s="60">
        <v>0.02</v>
      </c>
      <c r="D45" s="58" t="s">
        <v>41</v>
      </c>
      <c r="E45" s="58" t="s">
        <v>39</v>
      </c>
      <c r="F45" s="58" t="s">
        <v>34</v>
      </c>
    </row>
    <row r="46" spans="2:6" x14ac:dyDescent="0.25">
      <c r="B46" s="59">
        <v>45320</v>
      </c>
      <c r="C46" s="60">
        <v>-106.65</v>
      </c>
      <c r="D46" s="58" t="s">
        <v>75</v>
      </c>
      <c r="E46" s="58" t="s">
        <v>39</v>
      </c>
      <c r="F46" s="58" t="s">
        <v>29</v>
      </c>
    </row>
    <row r="47" spans="2:6" x14ac:dyDescent="0.25">
      <c r="B47" s="59">
        <v>45320</v>
      </c>
      <c r="C47" s="60">
        <v>-0.95</v>
      </c>
      <c r="D47" s="58" t="s">
        <v>40</v>
      </c>
      <c r="E47" s="58" t="s">
        <v>39</v>
      </c>
      <c r="F47" s="58" t="s">
        <v>3</v>
      </c>
    </row>
    <row r="48" spans="2:6" x14ac:dyDescent="0.25">
      <c r="B48" s="59">
        <v>45320</v>
      </c>
      <c r="C48" s="60">
        <v>-11.29</v>
      </c>
      <c r="D48" s="58" t="s">
        <v>75</v>
      </c>
      <c r="E48" s="58" t="s">
        <v>39</v>
      </c>
      <c r="F48" s="58" t="s">
        <v>29</v>
      </c>
    </row>
    <row r="49" spans="2:6" x14ac:dyDescent="0.25">
      <c r="B49" s="59">
        <v>45321</v>
      </c>
      <c r="C49" s="60">
        <v>-66.97</v>
      </c>
      <c r="D49" s="58" t="s">
        <v>60</v>
      </c>
      <c r="E49" s="58" t="s">
        <v>32</v>
      </c>
      <c r="F49" s="58" t="s">
        <v>11</v>
      </c>
    </row>
    <row r="50" spans="2:6" x14ac:dyDescent="0.25">
      <c r="B50" s="59">
        <v>45321</v>
      </c>
      <c r="C50" s="60">
        <v>-21.5</v>
      </c>
      <c r="D50" s="58" t="s">
        <v>61</v>
      </c>
      <c r="E50" s="58" t="s">
        <v>32</v>
      </c>
      <c r="F50" s="58" t="s">
        <v>4</v>
      </c>
    </row>
    <row r="51" spans="2:6" x14ac:dyDescent="0.25">
      <c r="B51" s="59">
        <v>45321</v>
      </c>
      <c r="C51" s="60">
        <v>0.42</v>
      </c>
      <c r="D51" s="58" t="s">
        <v>30</v>
      </c>
      <c r="E51" s="58" t="s">
        <v>32</v>
      </c>
      <c r="F51" s="58" t="s">
        <v>34</v>
      </c>
    </row>
    <row r="52" spans="2:6" x14ac:dyDescent="0.25">
      <c r="B52" s="24"/>
    </row>
    <row r="53" spans="2:6" x14ac:dyDescent="0.25">
      <c r="B53" s="24"/>
    </row>
    <row r="54" spans="2:6" x14ac:dyDescent="0.25">
      <c r="B54" s="24"/>
    </row>
    <row r="55" spans="2:6" x14ac:dyDescent="0.25">
      <c r="B55" s="24"/>
    </row>
    <row r="56" spans="2:6" x14ac:dyDescent="0.25">
      <c r="B56" s="24"/>
    </row>
    <row r="57" spans="2:6" x14ac:dyDescent="0.25">
      <c r="B57" s="24"/>
    </row>
    <row r="58" spans="2:6" x14ac:dyDescent="0.25">
      <c r="B58" s="24"/>
    </row>
    <row r="59" spans="2:6" x14ac:dyDescent="0.25">
      <c r="B59" s="24"/>
    </row>
    <row r="60" spans="2:6" x14ac:dyDescent="0.25">
      <c r="B60" s="24"/>
    </row>
    <row r="61" spans="2:6" x14ac:dyDescent="0.25">
      <c r="B61" s="24"/>
    </row>
    <row r="62" spans="2:6" x14ac:dyDescent="0.25">
      <c r="B62" s="24"/>
    </row>
    <row r="63" spans="2:6" x14ac:dyDescent="0.25">
      <c r="B63" s="24"/>
    </row>
    <row r="64" spans="2:6" x14ac:dyDescent="0.25">
      <c r="B64" s="24"/>
    </row>
    <row r="65" spans="2:2" x14ac:dyDescent="0.25">
      <c r="B65" s="24"/>
    </row>
    <row r="66" spans="2:2" x14ac:dyDescent="0.25">
      <c r="B66" s="24"/>
    </row>
    <row r="67" spans="2:2" x14ac:dyDescent="0.25">
      <c r="B67" s="24"/>
    </row>
    <row r="68" spans="2:2" x14ac:dyDescent="0.25">
      <c r="B68" s="24"/>
    </row>
    <row r="69" spans="2:2" x14ac:dyDescent="0.25">
      <c r="B69" s="24"/>
    </row>
    <row r="70" spans="2:2" x14ac:dyDescent="0.25">
      <c r="B70" s="24"/>
    </row>
    <row r="71" spans="2:2" x14ac:dyDescent="0.25">
      <c r="B71" s="24"/>
    </row>
    <row r="72" spans="2:2" x14ac:dyDescent="0.25">
      <c r="B72" s="24"/>
    </row>
    <row r="73" spans="2:2" x14ac:dyDescent="0.25">
      <c r="B73" s="24"/>
    </row>
    <row r="74" spans="2:2" x14ac:dyDescent="0.25">
      <c r="B74" s="24"/>
    </row>
    <row r="75" spans="2:2" x14ac:dyDescent="0.25">
      <c r="B75" s="24"/>
    </row>
    <row r="76" spans="2:2" x14ac:dyDescent="0.25">
      <c r="B76" s="24"/>
    </row>
    <row r="77" spans="2:2" x14ac:dyDescent="0.25">
      <c r="B77" s="24"/>
    </row>
    <row r="78" spans="2:2" x14ac:dyDescent="0.25">
      <c r="B78" s="24"/>
    </row>
    <row r="79" spans="2:2" x14ac:dyDescent="0.25">
      <c r="B79" s="24"/>
    </row>
    <row r="80" spans="2:2" x14ac:dyDescent="0.25">
      <c r="B80" s="24"/>
    </row>
    <row r="81" spans="2:2" x14ac:dyDescent="0.25">
      <c r="B81" s="24"/>
    </row>
    <row r="82" spans="2:2" x14ac:dyDescent="0.25">
      <c r="B82" s="24"/>
    </row>
    <row r="83" spans="2:2" x14ac:dyDescent="0.25">
      <c r="B83" s="24"/>
    </row>
    <row r="84" spans="2:2" x14ac:dyDescent="0.25">
      <c r="B84" s="24"/>
    </row>
    <row r="85" spans="2:2" x14ac:dyDescent="0.25">
      <c r="B85" s="24"/>
    </row>
    <row r="86" spans="2:2" x14ac:dyDescent="0.25">
      <c r="B86" s="24"/>
    </row>
    <row r="87" spans="2:2" x14ac:dyDescent="0.25">
      <c r="B87" s="24"/>
    </row>
    <row r="88" spans="2:2" x14ac:dyDescent="0.25">
      <c r="B88" s="24"/>
    </row>
    <row r="89" spans="2:2" x14ac:dyDescent="0.25">
      <c r="B89" s="24"/>
    </row>
    <row r="90" spans="2:2" x14ac:dyDescent="0.25">
      <c r="B90" s="24"/>
    </row>
    <row r="91" spans="2:2" x14ac:dyDescent="0.25">
      <c r="B91" s="24"/>
    </row>
    <row r="92" spans="2:2" x14ac:dyDescent="0.25">
      <c r="B92" s="24"/>
    </row>
    <row r="93" spans="2:2" x14ac:dyDescent="0.25">
      <c r="B93" s="24"/>
    </row>
    <row r="94" spans="2:2" x14ac:dyDescent="0.25">
      <c r="B94" s="24"/>
    </row>
    <row r="95" spans="2:2" x14ac:dyDescent="0.25">
      <c r="B95" s="24"/>
    </row>
    <row r="96" spans="2:2" x14ac:dyDescent="0.25">
      <c r="B96" s="24"/>
    </row>
    <row r="97" spans="2:2" x14ac:dyDescent="0.25">
      <c r="B97" s="24"/>
    </row>
    <row r="98" spans="2:2" x14ac:dyDescent="0.25">
      <c r="B98" s="24"/>
    </row>
    <row r="99" spans="2:2" x14ac:dyDescent="0.25">
      <c r="B99" s="24"/>
    </row>
    <row r="100" spans="2:2" x14ac:dyDescent="0.25">
      <c r="B100" s="24"/>
    </row>
    <row r="101" spans="2:2" x14ac:dyDescent="0.25">
      <c r="B101" s="24"/>
    </row>
    <row r="102" spans="2:2" x14ac:dyDescent="0.25">
      <c r="B102" s="24"/>
    </row>
    <row r="103" spans="2:2" x14ac:dyDescent="0.25">
      <c r="B103" s="24"/>
    </row>
    <row r="104" spans="2:2" x14ac:dyDescent="0.25">
      <c r="B104" s="24"/>
    </row>
    <row r="105" spans="2:2" x14ac:dyDescent="0.25">
      <c r="B105" s="24"/>
    </row>
    <row r="106" spans="2:2" x14ac:dyDescent="0.25">
      <c r="B106" s="24"/>
    </row>
    <row r="107" spans="2:2" x14ac:dyDescent="0.25">
      <c r="B107" s="24"/>
    </row>
    <row r="108" spans="2:2" x14ac:dyDescent="0.25">
      <c r="B108" s="24"/>
    </row>
    <row r="109" spans="2:2" x14ac:dyDescent="0.25">
      <c r="B109" s="24"/>
    </row>
    <row r="110" spans="2:2" x14ac:dyDescent="0.25">
      <c r="B110" s="24"/>
    </row>
    <row r="111" spans="2:2" x14ac:dyDescent="0.25">
      <c r="B111" s="24"/>
    </row>
    <row r="112" spans="2:2" x14ac:dyDescent="0.25">
      <c r="B112" s="24"/>
    </row>
    <row r="113" spans="2:3" x14ac:dyDescent="0.25">
      <c r="B113" s="24"/>
    </row>
    <row r="114" spans="2:3" x14ac:dyDescent="0.25">
      <c r="B114" s="24"/>
    </row>
    <row r="115" spans="2:3" x14ac:dyDescent="0.25">
      <c r="B115" s="24"/>
    </row>
    <row r="116" spans="2:3" x14ac:dyDescent="0.25">
      <c r="B116" s="24"/>
    </row>
    <row r="117" spans="2:3" x14ac:dyDescent="0.25">
      <c r="B117" s="24"/>
    </row>
    <row r="118" spans="2:3" x14ac:dyDescent="0.25">
      <c r="B118" s="24"/>
    </row>
    <row r="119" spans="2:3" x14ac:dyDescent="0.25">
      <c r="B119" s="24"/>
    </row>
    <row r="120" spans="2:3" x14ac:dyDescent="0.25">
      <c r="B120" s="24"/>
    </row>
    <row r="121" spans="2:3" x14ac:dyDescent="0.25">
      <c r="B121" s="24"/>
    </row>
    <row r="122" spans="2:3" x14ac:dyDescent="0.25">
      <c r="B122" s="24"/>
    </row>
    <row r="123" spans="2:3" x14ac:dyDescent="0.25">
      <c r="B123" s="24"/>
    </row>
    <row r="124" spans="2:3" x14ac:dyDescent="0.25">
      <c r="B124" s="24"/>
    </row>
    <row r="125" spans="2:3" x14ac:dyDescent="0.25">
      <c r="B125" s="24"/>
    </row>
    <row r="127" spans="2:3" x14ac:dyDescent="0.25">
      <c r="C127" s="47"/>
    </row>
  </sheetData>
  <mergeCells count="2">
    <mergeCell ref="B1:C2"/>
    <mergeCell ref="A3:XFD6"/>
  </mergeCells>
  <conditionalFormatting sqref="C8:C51">
    <cfRule type="cellIs" dxfId="2" priority="1" stopIfTrue="1" operator="greaterThanOrEqual">
      <formula>0</formula>
    </cfRule>
    <cfRule type="cellIs" dxfId="1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_Import_Data">
              <controlPr defaultSize="0" print="0" autoFill="0" autoPict="0" macro="[0]!ImportCSV">
                <anchor moveWithCells="1" sizeWithCells="1">
                  <from>
                    <xdr:col>2</xdr:col>
                    <xdr:colOff>1038225</xdr:colOff>
                    <xdr:row>3</xdr:row>
                    <xdr:rowOff>28575</xdr:rowOff>
                  </from>
                  <to>
                    <xdr:col>3</xdr:col>
                    <xdr:colOff>981075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aveCSV">
                <anchor moveWithCells="1" sizeWithCells="1">
                  <from>
                    <xdr:col>3</xdr:col>
                    <xdr:colOff>2943225</xdr:colOff>
                    <xdr:row>3</xdr:row>
                    <xdr:rowOff>38100</xdr:rowOff>
                  </from>
                  <to>
                    <xdr:col>3</xdr:col>
                    <xdr:colOff>3971925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64AA9-83A2-4C3A-8476-D2CA4E7B3298}">
  <sheetPr codeName="Sheet3">
    <tabColor rgb="FF002060"/>
  </sheetPr>
  <dimension ref="B1:E2"/>
  <sheetViews>
    <sheetView workbookViewId="0">
      <selection activeCell="B13" sqref="B13"/>
    </sheetView>
  </sheetViews>
  <sheetFormatPr defaultRowHeight="15" x14ac:dyDescent="0.25"/>
  <cols>
    <col min="1" max="16384" width="9.140625" style="5"/>
  </cols>
  <sheetData>
    <row r="1" spans="2:5" s="23" customFormat="1" ht="15" customHeight="1" x14ac:dyDescent="0.25">
      <c r="B1" s="57" t="s">
        <v>24</v>
      </c>
      <c r="C1" s="57"/>
      <c r="D1" s="57"/>
      <c r="E1" s="57"/>
    </row>
    <row r="2" spans="2:5" s="23" customFormat="1" ht="15" customHeight="1" x14ac:dyDescent="0.25">
      <c r="B2" s="57"/>
      <c r="C2" s="57"/>
      <c r="D2" s="57"/>
      <c r="E2" s="57"/>
    </row>
  </sheetData>
  <mergeCells count="1">
    <mergeCell ref="B1:E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E7671-B862-4A37-8196-0C2819A3966A}">
  <sheetPr codeName="Sheet4"/>
  <dimension ref="A1:B11"/>
  <sheetViews>
    <sheetView workbookViewId="0">
      <selection activeCell="F27" sqref="F27"/>
    </sheetView>
  </sheetViews>
  <sheetFormatPr defaultRowHeight="15" x14ac:dyDescent="0.25"/>
  <cols>
    <col min="1" max="1" width="29.85546875" bestFit="1" customWidth="1"/>
    <col min="2" max="2" width="12.28515625" bestFit="1" customWidth="1"/>
  </cols>
  <sheetData>
    <row r="1" spans="1:2" x14ac:dyDescent="0.25">
      <c r="A1" t="s">
        <v>13</v>
      </c>
      <c r="B1" t="s">
        <v>2</v>
      </c>
    </row>
    <row r="2" spans="1:2" x14ac:dyDescent="0.25">
      <c r="A2" t="s">
        <v>11</v>
      </c>
      <c r="B2" t="s">
        <v>34</v>
      </c>
    </row>
    <row r="3" spans="1:2" x14ac:dyDescent="0.25">
      <c r="A3" t="s">
        <v>8</v>
      </c>
      <c r="B3" t="s">
        <v>33</v>
      </c>
    </row>
    <row r="4" spans="1:2" x14ac:dyDescent="0.25">
      <c r="A4" t="s">
        <v>4</v>
      </c>
    </row>
    <row r="5" spans="1:2" x14ac:dyDescent="0.25">
      <c r="A5" t="s">
        <v>10</v>
      </c>
    </row>
    <row r="6" spans="1:2" x14ac:dyDescent="0.25">
      <c r="A6" t="s">
        <v>29</v>
      </c>
    </row>
    <row r="7" spans="1:2" x14ac:dyDescent="0.25">
      <c r="A7" t="s">
        <v>7</v>
      </c>
    </row>
    <row r="8" spans="1:2" x14ac:dyDescent="0.25">
      <c r="A8" t="s">
        <v>3</v>
      </c>
    </row>
    <row r="9" spans="1:2" x14ac:dyDescent="0.25">
      <c r="A9" t="s">
        <v>5</v>
      </c>
    </row>
    <row r="10" spans="1:2" x14ac:dyDescent="0.25">
      <c r="A10" t="s">
        <v>6</v>
      </c>
    </row>
    <row r="11" spans="1:2" x14ac:dyDescent="0.25">
      <c r="A11" t="s">
        <v>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B38A80F-8655-4E9A-A736-57391E2BAC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Budget Dashboard</vt:lpstr>
      <vt:lpstr>Income and Expenses</vt:lpstr>
      <vt:lpstr>Calculations</vt:lpstr>
      <vt:lpstr>Transaction Categories</vt:lpstr>
      <vt:lpstr>current_year</vt:lpstr>
      <vt:lpstr>Expenses</vt:lpstr>
      <vt:lpstr>'Transaction Categories'!ExternalData_1</vt:lpstr>
      <vt:lpstr>'Transaction Categories'!ExternalData_2</vt:lpstr>
      <vt:lpstr>'Transaction Categories'!ExternalData_3</vt:lpstr>
      <vt:lpstr>Income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Sol</dc:creator>
  <cp:lastModifiedBy>Diego Sol</cp:lastModifiedBy>
  <dcterms:created xsi:type="dcterms:W3CDTF">2024-05-15T20:42:03Z</dcterms:created>
  <dcterms:modified xsi:type="dcterms:W3CDTF">2024-10-27T22:26:29Z</dcterms:modified>
</cp:coreProperties>
</file>