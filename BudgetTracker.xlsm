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930B6315-5658-439E-B9FB-508A220AF331}" xr6:coauthVersionLast="47" xr6:coauthVersionMax="47" xr10:uidLastSave="{00000000-0000-0000-0000-000000000000}"/>
  <bookViews>
    <workbookView xWindow="25800" yWindow="0" windowWidth="25800" windowHeight="21600" xr2:uid="{3CCECE8A-1D95-4C41-B52A-23F1772B54AF}"/>
  </bookViews>
  <sheets>
    <sheet name="Budget Dashboard" sheetId="2" r:id="rId1"/>
    <sheet name="Income and Expenses" sheetId="1" r:id="rId2"/>
    <sheet name="Calculations" sheetId="3" r:id="rId3"/>
    <sheet name="Transaction Categories" sheetId="6" r:id="rId4"/>
  </sheets>
  <functionGroups builtInGroupCount="19"/>
  <definedNames>
    <definedName name="current_month">IF(LEN(month_val)&gt;1,month_val,"0"&amp;month_val)</definedName>
    <definedName name="current_year">'Budget Dashboard'!$G$5</definedName>
    <definedName name="Expenses">'Transaction Categories'!$A$2:$A$11</definedName>
    <definedName name="ExternalData_1" localSheetId="3">'Transaction Categories'!$A$1:$B$11</definedName>
    <definedName name="ExternalData_2" localSheetId="3">'Transaction Categories'!$A$1:$B$11</definedName>
    <definedName name="ExternalData_3" localSheetId="3">'Transaction Categories'!$A$1:$B$11</definedName>
    <definedName name="Income">'Transaction Categories'!$B$2:$B$11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2" l="1"/>
  <c r="E22" i="2" s="1"/>
  <c r="B24" i="2"/>
  <c r="C24" i="2" s="1"/>
  <c r="G24" i="2" s="1"/>
  <c r="B23" i="2"/>
  <c r="C23" i="2" s="1"/>
  <c r="E23" i="2" s="1"/>
  <c r="B22" i="2"/>
  <c r="B21" i="2"/>
  <c r="C21" i="2" s="1"/>
  <c r="G21" i="2" s="1"/>
  <c r="B20" i="2"/>
  <c r="C20" i="2" s="1"/>
  <c r="E20" i="2" s="1"/>
  <c r="B19" i="2"/>
  <c r="C19" i="2" s="1"/>
  <c r="G19" i="2" s="1"/>
  <c r="B18" i="2"/>
  <c r="C18" i="2" s="1"/>
  <c r="E18" i="2" s="1"/>
  <c r="B17" i="2"/>
  <c r="C17" i="2" s="1"/>
  <c r="G17" i="2" s="1"/>
  <c r="B16" i="2"/>
  <c r="C16" i="2" s="1"/>
  <c r="E16" i="2" s="1"/>
  <c r="B15" i="2"/>
  <c r="C15" i="2" s="1"/>
  <c r="B11" i="2"/>
  <c r="C11" i="2" s="1"/>
  <c r="B10" i="2"/>
  <c r="C10" i="2" s="1"/>
  <c r="G10" i="2" s="1"/>
  <c r="D25" i="2"/>
  <c r="D12" i="2"/>
  <c r="B7" i="2"/>
  <c r="F22" i="2" l="1"/>
  <c r="G22" i="2"/>
  <c r="D28" i="2"/>
  <c r="C12" i="2"/>
  <c r="E12" i="2" s="1"/>
  <c r="E10" i="2"/>
  <c r="F10" i="2"/>
  <c r="C25" i="2"/>
  <c r="G25" i="2" s="1"/>
  <c r="F16" i="2"/>
  <c r="F18" i="2"/>
  <c r="F20" i="2"/>
  <c r="F23" i="2"/>
  <c r="G16" i="2"/>
  <c r="G18" i="2"/>
  <c r="G20" i="2"/>
  <c r="G23" i="2"/>
  <c r="E17" i="2"/>
  <c r="E21" i="2"/>
  <c r="E24" i="2"/>
  <c r="F11" i="2"/>
  <c r="E15" i="2"/>
  <c r="E19" i="2"/>
  <c r="G11" i="2"/>
  <c r="F15" i="2"/>
  <c r="F17" i="2"/>
  <c r="F19" i="2"/>
  <c r="F21" i="2"/>
  <c r="F24" i="2"/>
  <c r="E11" i="2"/>
  <c r="G15" i="2"/>
  <c r="G12" i="2" l="1"/>
  <c r="F12" i="2"/>
  <c r="C28" i="2"/>
  <c r="G28" i="2" s="1"/>
  <c r="E25" i="2"/>
  <c r="F25" i="2"/>
  <c r="E28" i="2" l="1"/>
  <c r="F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C72D8-8CD8-467C-9530-E130709E861A}" name="Categories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2" xr16:uid="{DAB4029A-233C-435A-ACF7-06A8CDB150A1}" name="categories_keywords" type="6" refreshedVersion="0" background="1">
    <textPr prompt="0" sourceFile="C:\Users\diego\git\FinanceTools\categories_keywords.csv">
      <textFields>
        <textField/>
      </textFields>
    </textPr>
  </connection>
  <connection id="3" xr16:uid="{FB5CF5DF-7B2A-4492-8D7D-7AA7E7FE70C1}" name="Categories1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4" xr16:uid="{E9BDF6C7-06B7-4723-988D-93199FD0E5F8}" name="Categories2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5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<sst xmlns="http://schemas.openxmlformats.org/spreadsheetml/2006/main" count="123" uniqueCount="58">
  <si>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</si>
  <si>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</si>
  <si>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</si>
  <si>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</si>
  <si>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</si>
  <si>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</si>
  <si>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</si>
  <si>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</si>
  <si>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</si>
  <si>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</si>
  <si>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</si>
  <si>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</si>
  <si>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</si>
  <si>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</si>
  <si>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</si>
  <si>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</si>
  <si>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</si>
  <si>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</si>
  <si>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</si>
  <si>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</si>
  <si>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</si>
  <si>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</si>
  <si>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</si>
  <si>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</si>
  <si>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</si>
  <si>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</si>
  <si>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</si>
  <si>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</si>
  <si>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</si>
  <si>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movie club fee</t>
  </si>
  <si>
    <t>HAIRCUT</t>
  </si>
  <si>
    <t>MONTHLY RENT</t>
  </si>
  <si>
    <t>CLOTHES</t>
  </si>
  <si>
    <t>GROCERY STORE</t>
  </si>
  <si>
    <t>Employer DIR DEP</t>
  </si>
  <si>
    <t>MONTHLY DIVIDENDS</t>
  </si>
  <si>
    <t>GYM MEMBERSHIP</t>
  </si>
  <si>
    <t>SUPERMARKET</t>
  </si>
  <si>
    <t>BOOK STORE</t>
  </si>
  <si>
    <t>dental expenses</t>
  </si>
  <si>
    <t>Medical Expenses</t>
  </si>
  <si>
    <t>ITALIAN FOOD</t>
  </si>
  <si>
    <t>AIRLINE FLT</t>
  </si>
  <si>
    <t>USA GASOLINE</t>
  </si>
  <si>
    <t>CASHED CHECK</t>
  </si>
  <si>
    <t>INTEREST PAYMENT</t>
  </si>
  <si>
    <t>FRESH FRUIT</t>
  </si>
  <si>
    <t>CAR MAINTAINENCE FEE</t>
  </si>
  <si>
    <t>INSTITUTION</t>
  </si>
  <si>
    <t>Wells Fargo</t>
  </si>
  <si>
    <t>Individual Contribution HSA</t>
  </si>
  <si>
    <t>Optum</t>
  </si>
  <si>
    <t>Employer Contribution HSA</t>
  </si>
  <si>
    <t>Service Charge</t>
  </si>
  <si>
    <t>Interest Payment</t>
  </si>
  <si>
    <t>November</t>
  </si>
  <si>
    <t>HSA</t>
  </si>
  <si>
    <t>Employment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</si>
</sst>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 style="thin">
        <color theme="3" tint="0.749961851863155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164" fontId="3" fillId="2" borderId="11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 vertical="center"/>
    </xf>
    <xf numFmtId="165" fontId="3" fillId="2" borderId="11" xfId="0" applyNumberFormat="1" applyFont="1" applyFill="1" applyBorder="1" applyAlignment="1">
      <alignment horizontal="right"/>
    </xf>
    <xf numFmtId="9" fontId="3" fillId="2" borderId="10" xfId="0" applyNumberFormat="1" applyFont="1" applyFill="1" applyBorder="1" applyAlignment="1">
      <alignment horizontal="right" vertical="center"/>
    </xf>
    <xf numFmtId="9" fontId="3" fillId="2" borderId="10" xfId="0" applyNumberFormat="1" applyFont="1" applyFill="1" applyBorder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right" vertical="center"/>
    </xf>
    <xf numFmtId="165" fontId="2" fillId="2" borderId="13" xfId="0" applyNumberFormat="1" applyFont="1" applyFill="1" applyBorder="1" applyAlignment="1">
      <alignment horizontal="right" vertical="center"/>
    </xf>
    <xf numFmtId="9" fontId="2" fillId="2" borderId="13" xfId="0" applyNumberFormat="1" applyFont="1" applyFill="1" applyBorder="1"/>
    <xf numFmtId="165" fontId="2" fillId="2" borderId="14" xfId="0" applyNumberFormat="1" applyFont="1" applyFill="1" applyBorder="1" applyAlignment="1">
      <alignment horizontal="right"/>
    </xf>
    <xf numFmtId="165" fontId="2" fillId="2" borderId="13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/>
    <xf numFmtId="165" fontId="2" fillId="2" borderId="16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/>
    </xf>
    <xf numFmtId="165" fontId="3" fillId="2" borderId="10" xfId="0" applyNumberFormat="1" applyFont="1" applyFill="1" applyBorder="1" applyAlignment="1">
      <alignment horizontal="right"/>
    </xf>
    <xf numFmtId="166" fontId="0" fillId="8" borderId="0" xfId="0" applyNumberFormat="1" applyFill="1"/>
    <xf numFmtId="0" fontId="2" fillId="2" borderId="17" xfId="0" applyFont="1" applyFill="1" applyBorder="1" applyAlignment="1">
      <alignment horizontal="left" vertical="center"/>
    </xf>
    <xf numFmtId="165" fontId="1" fillId="2" borderId="18" xfId="0" applyNumberFormat="1" applyFont="1" applyFill="1" applyBorder="1" applyAlignment="1">
      <alignment horizontal="right" vertical="center"/>
    </xf>
    <xf numFmtId="165" fontId="2" fillId="2" borderId="18" xfId="0" applyNumberFormat="1" applyFont="1" applyFill="1" applyBorder="1" applyAlignment="1">
      <alignment horizontal="right" vertical="center"/>
    </xf>
    <xf numFmtId="9" fontId="2" fillId="2" borderId="18" xfId="0" applyNumberFormat="1" applyFont="1" applyFill="1" applyBorder="1" applyAlignment="1">
      <alignment horizontal="right" vertical="center"/>
    </xf>
    <xf numFmtId="164" fontId="2" fillId="2" borderId="19" xfId="0" applyNumberFormat="1" applyFont="1" applyFill="1" applyBorder="1" applyAlignment="1">
      <alignment horizontal="right" vertical="center"/>
    </xf>
    <xf numFmtId="165" fontId="1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 applyAlignment="1">
      <alignment horizontal="right" vertical="center"/>
    </xf>
    <xf numFmtId="164" fontId="2" fillId="2" borderId="16" xfId="0" applyNumberFormat="1" applyFont="1" applyFill="1" applyBorder="1" applyAlignment="1">
      <alignment horizontal="right" vertical="center"/>
    </xf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85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84"/>
      <tableStyleElement type="headerRow" dxfId="83"/>
      <tableStyleElement type="firstRowStripe" dxfId="82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1038225</xdr:colOff>
          <xdr:row>3</xdr:row>
          <xdr:rowOff>28575</xdr:rowOff>
        </xdr:from>
        <xdr:to>
          <xdr:col>3</xdr:col>
          <xdr:colOff>981075</xdr:colOff>
          <xdr:row>5</xdr:row>
          <xdr:rowOff>19050</xdr:rowOff>
        </xdr:to>
        <xdr:sp macro="" textlink="">
          <xdr:nvSpPr>
            <xdr:cNvPr id="3073" name="Button_Import_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2CE35B6-6B0C-BE3D-BAF7-A957AAD1F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2943225</xdr:colOff>
          <xdr:row>3</xdr:row>
          <xdr:rowOff>38100</xdr:rowOff>
        </xdr:from>
        <xdr:to>
          <xdr:col>3</xdr:col>
          <xdr:colOff>3971925</xdr:colOff>
          <xdr:row>5</xdr:row>
          <xdr:rowOff>28575</xdr:rowOff>
        </xdr:to>
        <xdr:sp macro="" textlink="">
          <xdr:nvSpPr>
            <xdr:cNvPr id="3074" name="Button_Import_Dat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BCC5FA8-5184-8CD2-2863-3DB0DA49E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</xdr:row>
      <xdr:rowOff>0</xdr:rowOff>
    </xdr:from>
    <xdr:to>
      <xdr:col>2</xdr:col>
      <xdr:colOff>1038225</xdr:colOff>
      <xdr:row>5</xdr:row>
      <xdr:rowOff>66676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707A8B-4953-436F-8CD8-0ED3F9E6A9F2}"/>
            </a:ext>
          </a:extLst>
        </xdr:cNvPr>
        <xdr:cNvSpPr txBox="1"/>
      </xdr:nvSpPr>
      <xdr:spPr>
        <a:xfrm>
          <a:off x="447675" y="762000"/>
          <a:ext cx="2124075" cy="257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1" u="none" strike="noStrike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Press to import and process data →</a:t>
          </a:r>
          <a:r>
            <a:rPr lang="en-US" sz="1000" i="1">
              <a:solidFill>
                <a:schemeClr val="tx2">
                  <a:lumMod val="50000"/>
                  <a:lumOff val="50000"/>
                </a:schemeClr>
              </a:solidFill>
            </a:rPr>
            <a:t> </a:t>
          </a:r>
          <a:endParaRPr lang="en-US" sz="1000" i="1" kern="1200">
            <a:solidFill>
              <a:schemeClr val="tx2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</xdr:col>
      <xdr:colOff>1390651</xdr:colOff>
      <xdr:row>4</xdr:row>
      <xdr:rowOff>0</xdr:rowOff>
    </xdr:from>
    <xdr:to>
      <xdr:col>3</xdr:col>
      <xdr:colOff>2857501</xdr:colOff>
      <xdr:row>5</xdr:row>
      <xdr:rowOff>66676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22FB729-CEA8-4803-838B-A15B943E8DBB}"/>
            </a:ext>
          </a:extLst>
        </xdr:cNvPr>
        <xdr:cNvSpPr txBox="1"/>
      </xdr:nvSpPr>
      <xdr:spPr>
        <a:xfrm>
          <a:off x="4010026" y="762000"/>
          <a:ext cx="1466850" cy="25717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1" u="none" strike="noStrike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Press to save changes →</a:t>
          </a:r>
          <a:r>
            <a:rPr lang="en-US" sz="1000" i="1">
              <a:solidFill>
                <a:schemeClr val="tx2">
                  <a:lumMod val="50000"/>
                  <a:lumOff val="50000"/>
                </a:schemeClr>
              </a:solidFill>
            </a:rPr>
            <a:t> </a:t>
          </a:r>
          <a:endParaRPr lang="en-US" sz="1000" i="1" kern="1200">
            <a:solidFill>
              <a:schemeClr val="tx2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009158-57B2-4859-9B9C-A9EF3262301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43DF02-E270-41D7-BB9C-77150600C3E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B5D465D-4229-40F4-BB51-D0718D15D821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13B58897-F50F-4A52-9A70-8010B6B561E3}" name="Transactions" displayName="Transactions" ref="B7:F32" totalsRowShown="0" headerRowDxfId="0" dataDxfId="6">
  <tableColumns count="5">
    <tableColumn id="1" xr3:uid="{E30F4BB9-999E-4BD1-9B19-826A1BF44631}" name="DATE" dataDxfId="5"/>
    <tableColumn id="2" xr3:uid="{971750C9-CFDE-4CC5-966D-6B4DC2F71959}" name="AMOUNT" dataDxfId="3"/>
    <tableColumn id="3" xr3:uid="{04867864-7E7F-4C94-9D0C-DBE00FCCC21B}" name="DESCRIPTION" dataDxfId="4"/>
    <tableColumn id="4" xr3:uid="{526CB2C5-C566-4E6D-8BCB-6EF0D882BF45}" name="INSTITUTION" dataDxfId="8"/>
    <tableColumn id="5" xr3:uid="{369F051D-818D-4DCA-84F4-0E57FCB9D35D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28"/>
  <sheetViews>
    <sheetView tabSelected="1" zoomScale="115" zoomScaleNormal="115" workbookViewId="0">
      <selection activeCell="B31" sqref="B31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2" customFormat="1" ht="14.45" customHeight="1" x14ac:dyDescent="0.2">
      <c r="B1" s="48" t="s">
        <v>20</v>
      </c>
      <c r="C1" s="49"/>
    </row>
    <row r="2" spans="2:15" s="22" customFormat="1" ht="14.45" customHeight="1" x14ac:dyDescent="0.2">
      <c r="B2" s="49"/>
      <c r="C2" s="49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50" t="s">
        <v>21</v>
      </c>
      <c r="E5" s="50"/>
      <c r="F5" s="11" t="s">
        <v>55</v>
      </c>
      <c r="G5" s="12">
        <v>2023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51" t="str">
        <f>"Breakdown - "&amp;F5&amp;" "&amp;current_year</f>
        <v>Breakdown - November 2023</v>
      </c>
      <c r="C7" s="51"/>
      <c r="D7" s="51"/>
      <c r="E7" s="51"/>
      <c r="F7" s="51"/>
      <c r="G7" s="51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40" t="str">
        <f>INDEX(Income,1)</f>
        <v>Employment</v>
      </c>
      <c r="C10" s="41">
        <f>ABS(SUMIFS('Income and Expenses'!$C$5:$C$1048576,'Income and Expenses'!$F5:$F$1048576,'Budget Dashboard'!B10))</f>
        <v>2700.4300000000003</v>
      </c>
      <c r="D10" s="42">
        <v>6000</v>
      </c>
      <c r="E10" s="43">
        <f>C10/D10</f>
        <v>0.4500716666666667</v>
      </c>
      <c r="F10" s="42">
        <f>IF(D10-C10&gt;0,D10-C10,"-")</f>
        <v>3299.5699999999997</v>
      </c>
      <c r="G10" s="44" t="str">
        <f>IF(C10-D10&gt;0,C10-D10,"-")</f>
        <v>-</v>
      </c>
      <c r="H10" s="5"/>
      <c r="I10" s="5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40" t="str">
        <f>INDEX(Income,2)</f>
        <v>HSA</v>
      </c>
      <c r="C11" s="45">
        <f>ABS(SUMIFS('Income and Expenses'!$C$5:$C$1048576,'Income and Expenses'!$F5:$F$1048576,'Budget Dashboard'!B11))</f>
        <v>999.99</v>
      </c>
      <c r="D11" s="34">
        <v>6000</v>
      </c>
      <c r="E11" s="46">
        <f>C11/D11</f>
        <v>0.16666500000000001</v>
      </c>
      <c r="F11" s="34">
        <f>IF(D11-C11&gt;0,D11-C11,"-")</f>
        <v>5000.01</v>
      </c>
      <c r="G11" s="47" t="str">
        <f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6" t="s">
        <v>12</v>
      </c>
      <c r="C12" s="18">
        <f>SUM(C10:C11)</f>
        <v>3700.42</v>
      </c>
      <c r="D12" s="18">
        <f>SUM(D11)</f>
        <v>6000</v>
      </c>
      <c r="E12" s="20">
        <f>C12/D12</f>
        <v>0.61673666666666671</v>
      </c>
      <c r="F12" s="18">
        <f>IF(D12-C12&gt;0,D12-C12,"-")</f>
        <v>2299.58</v>
      </c>
      <c r="G12" s="17" t="str">
        <f>IF(C12-D12&gt;0,C12-D12,"-")</f>
        <v>-</v>
      </c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1"/>
      <c r="C13" s="1"/>
      <c r="D13" s="1"/>
      <c r="E13" s="1"/>
      <c r="G13" s="1"/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25" t="s">
        <v>13</v>
      </c>
      <c r="C14" s="26" t="s">
        <v>15</v>
      </c>
      <c r="D14" s="26" t="s">
        <v>14</v>
      </c>
      <c r="E14" s="26" t="s">
        <v>18</v>
      </c>
      <c r="F14" s="26" t="s">
        <v>16</v>
      </c>
      <c r="G14" s="27" t="s">
        <v>17</v>
      </c>
      <c r="H14" s="5"/>
      <c r="I14" s="5"/>
      <c r="J14" s="5"/>
      <c r="K14" s="5"/>
      <c r="L14" s="5"/>
      <c r="M14" s="5"/>
    </row>
    <row r="15" spans="2:15" ht="14.45" customHeight="1" x14ac:dyDescent="0.25">
      <c r="B15" s="28" t="str">
        <f>INDEX(Expenses,1)</f>
        <v>Car Maintainence and Insurance</v>
      </c>
      <c r="C15" s="29">
        <f>ABS(SUMIFS('Income and Expenses'!$C$5:$C$1048576,'Income and Expenses'!$F$5:$F$1048576,'Budget Dashboard'!B15))</f>
        <v>66.97</v>
      </c>
      <c r="D15" s="30">
        <v>200</v>
      </c>
      <c r="E15" s="31">
        <f t="shared" ref="E15:E20" si="0">C15/D15</f>
        <v>0.33484999999999998</v>
      </c>
      <c r="F15" s="33">
        <f t="shared" ref="F15:F20" si="1">IF(D15-C15&gt;0,D15-C15,"-")</f>
        <v>133.03</v>
      </c>
      <c r="G15" s="32" t="str">
        <f t="shared" ref="G15:G20" si="2">IF(C15-D15&gt;0,C15-D15,"-")</f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28" t="str">
        <f>INDEX(Expenses,2)</f>
        <v>Gas</v>
      </c>
      <c r="C16" s="29">
        <f>ABS(SUMIFS('Income and Expenses'!$C$5:$C$1048576,'Income and Expenses'!$F$5:$F$1048576,'Budget Dashboard'!B16))</f>
        <v>45</v>
      </c>
      <c r="D16" s="30">
        <v>200</v>
      </c>
      <c r="E16" s="31">
        <f t="shared" si="0"/>
        <v>0.22500000000000001</v>
      </c>
      <c r="F16" s="33">
        <f t="shared" si="1"/>
        <v>155</v>
      </c>
      <c r="G16" s="32" t="str">
        <f t="shared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28" t="str">
        <f>INDEX(Expenses,3)</f>
        <v>Groceries</v>
      </c>
      <c r="C17" s="29">
        <f>ABS(SUMIFS('Income and Expenses'!$C$5:$C$1048576,'Income and Expenses'!$F$5:$F$1048576,'Budget Dashboard'!B17))</f>
        <v>383.52</v>
      </c>
      <c r="D17" s="30">
        <v>500</v>
      </c>
      <c r="E17" s="31">
        <f t="shared" si="0"/>
        <v>0.76703999999999994</v>
      </c>
      <c r="F17" s="33">
        <f t="shared" si="1"/>
        <v>116.48000000000002</v>
      </c>
      <c r="G17" s="32" t="str">
        <f t="shared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28" t="str">
        <f>INDEX(Expenses,4)</f>
        <v>Loan Payments</v>
      </c>
      <c r="C18" s="29">
        <f>ABS(SUMIFS('Income and Expenses'!$C$5:$C$1048576,'Income and Expenses'!$F$5:$F$1048576,'Budget Dashboard'!B18))</f>
        <v>0</v>
      </c>
      <c r="D18" s="30">
        <v>250</v>
      </c>
      <c r="E18" s="31">
        <f t="shared" si="0"/>
        <v>0</v>
      </c>
      <c r="F18" s="33">
        <f t="shared" si="1"/>
        <v>250</v>
      </c>
      <c r="G18" s="32" t="str">
        <f t="shared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28" t="str">
        <f>INDEX(Expenses,5)</f>
        <v>Medical Expenses</v>
      </c>
      <c r="C19" s="29">
        <f>ABS(SUMIFS('Income and Expenses'!$C$5:$C$1048576,'Income and Expenses'!$F$5:$F$1048576,'Budget Dashboard'!B19))</f>
        <v>60</v>
      </c>
      <c r="D19" s="30">
        <v>200</v>
      </c>
      <c r="E19" s="31">
        <f t="shared" si="0"/>
        <v>0.3</v>
      </c>
      <c r="F19" s="33">
        <f t="shared" si="1"/>
        <v>140</v>
      </c>
      <c r="G19" s="32" t="str">
        <f t="shared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28" t="str">
        <f>INDEX(Expenses,6)</f>
        <v>Memberships and Subscriptions</v>
      </c>
      <c r="C20" s="29">
        <f>ABS(SUMIFS('Income and Expenses'!$C$5:$C$1048576,'Income and Expenses'!$F$5:$F$1048576,'Budget Dashboard'!B20))</f>
        <v>62.69</v>
      </c>
      <c r="D20" s="30">
        <v>450</v>
      </c>
      <c r="E20" s="31">
        <f t="shared" si="0"/>
        <v>0.13931111111111111</v>
      </c>
      <c r="F20" s="33">
        <f t="shared" si="1"/>
        <v>387.31</v>
      </c>
      <c r="G20" s="32" t="str">
        <f t="shared" si="2"/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28" t="str">
        <f>INDEX(Expenses,7)</f>
        <v>Personal Expenses</v>
      </c>
      <c r="C21" s="29">
        <f>ABS(SUMIFS('Income and Expenses'!$C$5:$C$1048576,'Income and Expenses'!$F$5:$F$1048576,'Budget Dashboard'!B21))</f>
        <v>174.88</v>
      </c>
      <c r="D21" s="30">
        <v>2000</v>
      </c>
      <c r="E21" s="31">
        <f>C21/D21</f>
        <v>8.7440000000000004E-2</v>
      </c>
      <c r="F21" s="33">
        <f>IF(D21-C21&gt;0,D21-C21,"-")</f>
        <v>1825.12</v>
      </c>
      <c r="G21" s="32" t="str">
        <f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28" t="str">
        <f>INDEX(Expenses,5)</f>
        <v>Medical Expenses</v>
      </c>
      <c r="C22" s="29">
        <f>ABS(SUMIFS('Income and Expenses'!$C$5:$C$1048576,'Income and Expenses'!$F$5:$F$1048576,'Budget Dashboard'!B22))</f>
        <v>60</v>
      </c>
      <c r="D22" s="30">
        <v>200</v>
      </c>
      <c r="E22" s="31">
        <f>C22/D22</f>
        <v>0.3</v>
      </c>
      <c r="F22" s="33">
        <f>IF(D22-C22&gt;0,D22-C22,"-")</f>
        <v>140</v>
      </c>
      <c r="G22" s="32" t="str">
        <f>IF(C22-D22&gt;0,C22-D22,"-")</f>
        <v>-</v>
      </c>
      <c r="H22" s="5"/>
      <c r="I22" s="5"/>
      <c r="J22" s="5"/>
      <c r="K22" s="5"/>
      <c r="L22" s="5"/>
      <c r="M22" s="5"/>
    </row>
    <row r="23" spans="2:13" ht="14.45" customHeight="1" x14ac:dyDescent="0.25">
      <c r="B23" s="28" t="str">
        <f>INDEX(Expenses,8)</f>
        <v>Rent and Utilities</v>
      </c>
      <c r="C23" s="29">
        <f>ABS(SUMIFS('Income and Expenses'!$C$5:$C$1048576,'Income and Expenses'!$F$5:$F$1048576,'Budget Dashboard'!B23))</f>
        <v>1000</v>
      </c>
      <c r="D23" s="30">
        <v>400</v>
      </c>
      <c r="E23" s="31">
        <f>C23/D23</f>
        <v>2.5</v>
      </c>
      <c r="F23" s="33" t="str">
        <f>IF(D23-C23&gt;0,D23-C23,"-")</f>
        <v>-</v>
      </c>
      <c r="G23" s="32">
        <f>IF(C23-D23&gt;0,C23-D23,"-")</f>
        <v>600</v>
      </c>
      <c r="H23" s="5"/>
      <c r="I23" s="5"/>
      <c r="J23" s="5"/>
      <c r="K23" s="5"/>
      <c r="L23" s="5"/>
      <c r="M23" s="5"/>
    </row>
    <row r="24" spans="2:13" ht="14.45" customHeight="1" x14ac:dyDescent="0.25">
      <c r="B24" s="28" t="str">
        <f>INDEX(Expenses,9)</f>
        <v>Restaurants</v>
      </c>
      <c r="C24" s="29">
        <f>ABS(SUMIFS('Income and Expenses'!$C$5:$C$1048576,'Income and Expenses'!$F$5:$F$1048576,'Budget Dashboard'!B24))</f>
        <v>0</v>
      </c>
      <c r="D24" s="34">
        <v>300</v>
      </c>
      <c r="E24" s="35">
        <f>C24/D24</f>
        <v>0</v>
      </c>
      <c r="F24" s="37">
        <f>IF(D24-C24&gt;0,D24-C24,"-")</f>
        <v>300</v>
      </c>
      <c r="G24" s="36" t="str">
        <f>IF(C24-D24&gt;0,C24-D24,"-")</f>
        <v>-</v>
      </c>
      <c r="H24" s="5"/>
      <c r="I24" s="5"/>
      <c r="J24" s="5"/>
      <c r="K24" s="5"/>
      <c r="L24" s="5"/>
      <c r="M24" s="5"/>
    </row>
    <row r="25" spans="2:13" ht="14.45" customHeight="1" x14ac:dyDescent="0.25">
      <c r="B25" s="16" t="s">
        <v>12</v>
      </c>
      <c r="C25" s="18">
        <f>SUM(C15:C24)</f>
        <v>1853.06</v>
      </c>
      <c r="D25" s="18">
        <f>SUM(D15:D24)</f>
        <v>4700</v>
      </c>
      <c r="E25" s="21">
        <f>C25/D25</f>
        <v>0.39426808510638295</v>
      </c>
      <c r="F25" s="38">
        <f>IF(D25-C25&gt;0,D25-C25,"-")</f>
        <v>2846.94</v>
      </c>
      <c r="G25" s="19" t="str">
        <f>IF(C25-D25&gt;0,C25-D25,"-")</f>
        <v>-</v>
      </c>
      <c r="H25" s="5"/>
      <c r="I25" s="5"/>
      <c r="J25" s="5"/>
      <c r="K25" s="5"/>
      <c r="L25" s="5"/>
      <c r="M25" s="5"/>
    </row>
    <row r="26" spans="2:13" ht="14.45" customHeight="1" x14ac:dyDescent="0.25">
      <c r="H26" s="5"/>
      <c r="I26" s="5"/>
      <c r="J26" s="5"/>
      <c r="K26" s="5"/>
      <c r="L26" s="5"/>
      <c r="M26" s="5"/>
    </row>
    <row r="27" spans="2:13" ht="14.45" customHeight="1" x14ac:dyDescent="0.25">
      <c r="B27" s="13" t="s">
        <v>19</v>
      </c>
      <c r="C27" s="14" t="s">
        <v>15</v>
      </c>
      <c r="D27" s="14" t="s">
        <v>14</v>
      </c>
      <c r="E27" s="14" t="s">
        <v>18</v>
      </c>
      <c r="F27" s="14" t="s">
        <v>16</v>
      </c>
      <c r="G27" s="15" t="s">
        <v>17</v>
      </c>
      <c r="H27" s="5"/>
      <c r="I27" s="5"/>
      <c r="J27" s="5"/>
      <c r="K27" s="5"/>
      <c r="L27" s="5"/>
      <c r="M27" s="5"/>
    </row>
    <row r="28" spans="2:13" ht="14.45" customHeight="1" x14ac:dyDescent="0.2">
      <c r="B28" s="16" t="s">
        <v>12</v>
      </c>
      <c r="C28" s="18">
        <f>C12-C25</f>
        <v>1847.3600000000001</v>
      </c>
      <c r="D28" s="18">
        <f>D12-D25</f>
        <v>1300</v>
      </c>
      <c r="E28" s="21">
        <f>C28/D28</f>
        <v>1.4210461538461538</v>
      </c>
      <c r="F28" s="38" t="str">
        <f>IF(D28-C28&gt;0,D28-C28,"-")</f>
        <v>-</v>
      </c>
      <c r="G28" s="19">
        <f>IF(C28-D28&gt;0,C28-D28,"-")</f>
        <v>547.36000000000013</v>
      </c>
    </row>
  </sheetData>
  <mergeCells count="3">
    <mergeCell ref="B1:C2"/>
    <mergeCell ref="D5:E5"/>
    <mergeCell ref="B7:G7"/>
  </mergeCells>
  <conditionalFormatting sqref="E10:E11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5:E24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2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2">
    <cfRule type="cellIs" dxfId="81" priority="4" operator="lessThan">
      <formula>$D$25</formula>
    </cfRule>
  </conditionalFormatting>
  <conditionalFormatting sqref="C25">
    <cfRule type="cellIs" dxfId="80" priority="8" operator="greaterThan">
      <formula>$D$25</formula>
    </cfRule>
  </conditionalFormatting>
  <conditionalFormatting sqref="C28">
    <cfRule type="cellIs" dxfId="79" priority="9" operator="lessThan">
      <formula>0</formula>
    </cfRule>
  </conditionalFormatting>
  <conditionalFormatting sqref="E25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8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E10:E11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E15:E24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48"/>
  <sheetViews>
    <sheetView zoomScaleNormal="100" workbookViewId="0">
      <selection activeCell="A3" sqref="A3:XFD6"/>
    </sheetView>
  </sheetViews>
  <sheetFormatPr defaultRowHeight="15" x14ac:dyDescent="0.25"/>
  <cols>
    <col min="1" max="1" width="6.7109375" style="5" customWidth="1"/>
    <col min="2" max="2" width="16.28515625" style="39" customWidth="1"/>
    <col min="3" max="3" width="16.28515625" style="24" customWidth="1"/>
    <col min="4" max="4" width="119.42578125" style="24" customWidth="1"/>
    <col min="5" max="5" width="22.140625" style="24" customWidth="1"/>
    <col min="6" max="6" width="35.7109375" style="24" customWidth="1"/>
    <col min="7" max="16384" width="9.140625" style="5"/>
  </cols>
  <sheetData>
    <row r="1" spans="2:6" s="23" customFormat="1" x14ac:dyDescent="0.25">
      <c r="B1" s="52" t="s">
        <v>23</v>
      </c>
      <c r="C1" s="52"/>
    </row>
    <row r="2" spans="2:6" s="23" customFormat="1" x14ac:dyDescent="0.25">
      <c r="B2" s="52"/>
      <c r="C2" s="52"/>
    </row>
    <row r="3" spans="2:6" s="58" customFormat="1" x14ac:dyDescent="0.25"/>
    <row r="4" spans="2:6" s="58" customFormat="1" x14ac:dyDescent="0.25"/>
    <row r="5" spans="2:6" s="58" customFormat="1" x14ac:dyDescent="0.25"/>
    <row r="6" spans="2:6" s="58" customFormat="1" x14ac:dyDescent="0.25">
      <c r="B6" s="59"/>
      <c r="C6" s="59"/>
      <c r="D6" s="59"/>
      <c r="E6" s="59"/>
      <c r="F6" s="59"/>
    </row>
    <row r="7" spans="2:6" x14ac:dyDescent="0.25">
      <c r="B7" s="57" t="s">
        <v>25</v>
      </c>
      <c r="C7" s="57" t="s">
        <v>26</v>
      </c>
      <c r="D7" s="57" t="s">
        <v>27</v>
      </c>
      <c r="E7" s="57" t="s">
        <v>48</v>
      </c>
      <c r="F7" s="57" t="s">
        <v>28</v>
      </c>
    </row>
    <row r="8" spans="2:6" x14ac:dyDescent="0.25">
      <c r="B8" s="55">
        <v>45231</v>
      </c>
      <c r="C8" s="56">
        <v>-11.75</v>
      </c>
      <c r="D8" s="54" t="s">
        <v>29</v>
      </c>
      <c r="E8" s="54" t="s">
        <v>49</v>
      </c>
      <c r="F8" s="54" t="s">
        <v>7</v>
      </c>
    </row>
    <row r="9" spans="2:6" x14ac:dyDescent="0.25">
      <c r="B9" s="55">
        <v>45231</v>
      </c>
      <c r="C9" s="56">
        <v>-44.93</v>
      </c>
      <c r="D9" s="54" t="s">
        <v>30</v>
      </c>
      <c r="E9" s="54" t="s">
        <v>49</v>
      </c>
      <c r="F9" s="54" t="s">
        <v>3</v>
      </c>
    </row>
    <row r="10" spans="2:6" x14ac:dyDescent="0.25">
      <c r="B10" s="55">
        <v>45231</v>
      </c>
      <c r="C10" s="56">
        <v>-1000</v>
      </c>
      <c r="D10" s="54" t="s">
        <v>31</v>
      </c>
      <c r="E10" s="54" t="s">
        <v>49</v>
      </c>
      <c r="F10" s="54" t="s">
        <v>5</v>
      </c>
    </row>
    <row r="11" spans="2:6" x14ac:dyDescent="0.25">
      <c r="B11" s="55">
        <v>45232</v>
      </c>
      <c r="C11" s="56">
        <v>-66</v>
      </c>
      <c r="D11" s="54" t="s">
        <v>32</v>
      </c>
      <c r="E11" s="54" t="s">
        <v>49</v>
      </c>
      <c r="F11" s="54" t="s">
        <v>3</v>
      </c>
    </row>
    <row r="12" spans="2:6" x14ac:dyDescent="0.25">
      <c r="B12" s="55">
        <v>45238</v>
      </c>
      <c r="C12" s="56">
        <v>300</v>
      </c>
      <c r="D12" s="54" t="s">
        <v>50</v>
      </c>
      <c r="E12" s="54" t="s">
        <v>51</v>
      </c>
      <c r="F12" s="54" t="s">
        <v>56</v>
      </c>
    </row>
    <row r="13" spans="2:6" x14ac:dyDescent="0.25">
      <c r="B13" s="55">
        <v>45238</v>
      </c>
      <c r="C13" s="56">
        <v>200.01</v>
      </c>
      <c r="D13" s="54" t="s">
        <v>52</v>
      </c>
      <c r="E13" s="54" t="s">
        <v>51</v>
      </c>
      <c r="F13" s="54" t="s">
        <v>56</v>
      </c>
    </row>
    <row r="14" spans="2:6" x14ac:dyDescent="0.25">
      <c r="B14" s="55">
        <v>45238</v>
      </c>
      <c r="C14" s="56">
        <v>-158</v>
      </c>
      <c r="D14" s="54" t="s">
        <v>33</v>
      </c>
      <c r="E14" s="54" t="s">
        <v>49</v>
      </c>
      <c r="F14" s="54" t="s">
        <v>4</v>
      </c>
    </row>
    <row r="15" spans="2:6" x14ac:dyDescent="0.25">
      <c r="B15" s="55">
        <v>45239</v>
      </c>
      <c r="C15" s="56">
        <v>500</v>
      </c>
      <c r="D15" s="54" t="s">
        <v>35</v>
      </c>
      <c r="E15" s="54" t="s">
        <v>49</v>
      </c>
      <c r="F15" s="54" t="s">
        <v>57</v>
      </c>
    </row>
    <row r="16" spans="2:6" x14ac:dyDescent="0.25">
      <c r="B16" s="55">
        <v>45239</v>
      </c>
      <c r="C16" s="56">
        <v>1000</v>
      </c>
      <c r="D16" s="54" t="s">
        <v>34</v>
      </c>
      <c r="E16" s="54" t="s">
        <v>49</v>
      </c>
      <c r="F16" s="54" t="s">
        <v>57</v>
      </c>
    </row>
    <row r="17" spans="2:6" x14ac:dyDescent="0.25">
      <c r="B17" s="55">
        <v>45243</v>
      </c>
      <c r="C17" s="56">
        <v>-50.94</v>
      </c>
      <c r="D17" s="54" t="s">
        <v>36</v>
      </c>
      <c r="E17" s="54" t="s">
        <v>49</v>
      </c>
      <c r="F17" s="54" t="s">
        <v>7</v>
      </c>
    </row>
    <row r="18" spans="2:6" x14ac:dyDescent="0.25">
      <c r="B18" s="55">
        <v>45244</v>
      </c>
      <c r="C18" s="56">
        <v>-63</v>
      </c>
      <c r="D18" s="54" t="s">
        <v>38</v>
      </c>
      <c r="E18" s="54" t="s">
        <v>49</v>
      </c>
      <c r="F18" s="54" t="s">
        <v>3</v>
      </c>
    </row>
    <row r="19" spans="2:6" x14ac:dyDescent="0.25">
      <c r="B19" s="55">
        <v>45244</v>
      </c>
      <c r="C19" s="56">
        <v>-152.94999999999999</v>
      </c>
      <c r="D19" s="54" t="s">
        <v>37</v>
      </c>
      <c r="E19" s="54" t="s">
        <v>49</v>
      </c>
      <c r="F19" s="54" t="s">
        <v>4</v>
      </c>
    </row>
    <row r="20" spans="2:6" x14ac:dyDescent="0.25">
      <c r="B20" s="55">
        <v>45250</v>
      </c>
      <c r="C20" s="56">
        <v>-60</v>
      </c>
      <c r="D20" s="54" t="s">
        <v>39</v>
      </c>
      <c r="E20" s="54" t="s">
        <v>49</v>
      </c>
      <c r="F20" s="54" t="s">
        <v>40</v>
      </c>
    </row>
    <row r="21" spans="2:6" x14ac:dyDescent="0.25">
      <c r="B21" s="55">
        <v>45252</v>
      </c>
      <c r="C21" s="56">
        <v>1000</v>
      </c>
      <c r="D21" s="54" t="s">
        <v>34</v>
      </c>
      <c r="E21" s="54" t="s">
        <v>49</v>
      </c>
      <c r="F21" s="54" t="s">
        <v>57</v>
      </c>
    </row>
    <row r="22" spans="2:6" x14ac:dyDescent="0.25">
      <c r="B22" s="55">
        <v>45252</v>
      </c>
      <c r="C22" s="56">
        <v>-51.07</v>
      </c>
      <c r="D22" s="54" t="s">
        <v>41</v>
      </c>
      <c r="E22" s="54" t="s">
        <v>49</v>
      </c>
      <c r="F22" s="54" t="s">
        <v>4</v>
      </c>
    </row>
    <row r="23" spans="2:6" x14ac:dyDescent="0.25">
      <c r="B23" s="55">
        <v>45252</v>
      </c>
      <c r="C23" s="56">
        <v>199.98</v>
      </c>
      <c r="D23" s="54" t="s">
        <v>52</v>
      </c>
      <c r="E23" s="54" t="s">
        <v>51</v>
      </c>
      <c r="F23" s="54" t="s">
        <v>56</v>
      </c>
    </row>
    <row r="24" spans="2:6" x14ac:dyDescent="0.25">
      <c r="B24" s="55">
        <v>45252</v>
      </c>
      <c r="C24" s="56">
        <v>300</v>
      </c>
      <c r="D24" s="54" t="s">
        <v>50</v>
      </c>
      <c r="E24" s="54" t="s">
        <v>51</v>
      </c>
      <c r="F24" s="54" t="s">
        <v>56</v>
      </c>
    </row>
    <row r="25" spans="2:6" x14ac:dyDescent="0.25">
      <c r="B25" s="55">
        <v>45254</v>
      </c>
      <c r="C25" s="56">
        <v>200</v>
      </c>
      <c r="D25" s="54" t="s">
        <v>44</v>
      </c>
      <c r="E25" s="54" t="s">
        <v>49</v>
      </c>
      <c r="F25" s="54" t="s">
        <v>57</v>
      </c>
    </row>
    <row r="26" spans="2:6" x14ac:dyDescent="0.25">
      <c r="B26" s="55">
        <v>45254</v>
      </c>
      <c r="C26" s="56">
        <v>-500</v>
      </c>
      <c r="D26" s="54" t="s">
        <v>42</v>
      </c>
      <c r="E26" s="54" t="s">
        <v>49</v>
      </c>
      <c r="F26" s="54" t="s">
        <v>9</v>
      </c>
    </row>
    <row r="27" spans="2:6" x14ac:dyDescent="0.25">
      <c r="B27" s="55">
        <v>45254</v>
      </c>
      <c r="C27" s="56">
        <v>-45</v>
      </c>
      <c r="D27" s="54" t="s">
        <v>43</v>
      </c>
      <c r="E27" s="54" t="s">
        <v>49</v>
      </c>
      <c r="F27" s="54" t="s">
        <v>8</v>
      </c>
    </row>
    <row r="28" spans="2:6" x14ac:dyDescent="0.25">
      <c r="B28" s="55">
        <v>45260</v>
      </c>
      <c r="C28" s="56">
        <v>-66.97</v>
      </c>
      <c r="D28" s="54" t="s">
        <v>47</v>
      </c>
      <c r="E28" s="54" t="s">
        <v>49</v>
      </c>
      <c r="F28" s="54" t="s">
        <v>11</v>
      </c>
    </row>
    <row r="29" spans="2:6" x14ac:dyDescent="0.25">
      <c r="B29" s="55">
        <v>45260</v>
      </c>
      <c r="C29" s="56">
        <v>-21.5</v>
      </c>
      <c r="D29" s="54" t="s">
        <v>46</v>
      </c>
      <c r="E29" s="54" t="s">
        <v>49</v>
      </c>
      <c r="F29" s="54" t="s">
        <v>4</v>
      </c>
    </row>
    <row r="30" spans="2:6" x14ac:dyDescent="0.25">
      <c r="B30" s="55">
        <v>45260</v>
      </c>
      <c r="C30" s="56">
        <v>-0.95</v>
      </c>
      <c r="D30" s="54" t="s">
        <v>53</v>
      </c>
      <c r="E30" s="54" t="s">
        <v>51</v>
      </c>
      <c r="F30" s="54" t="s">
        <v>3</v>
      </c>
    </row>
    <row r="31" spans="2:6" x14ac:dyDescent="0.25">
      <c r="B31" s="55">
        <v>45260</v>
      </c>
      <c r="C31" s="56">
        <v>0.42</v>
      </c>
      <c r="D31" s="54" t="s">
        <v>45</v>
      </c>
      <c r="E31" s="54" t="s">
        <v>49</v>
      </c>
      <c r="F31" s="54" t="s">
        <v>57</v>
      </c>
    </row>
    <row r="32" spans="2:6" x14ac:dyDescent="0.25">
      <c r="B32" s="55">
        <v>45260</v>
      </c>
      <c r="C32" s="56">
        <v>0.01</v>
      </c>
      <c r="D32" s="54" t="s">
        <v>54</v>
      </c>
      <c r="E32" s="54" t="s">
        <v>51</v>
      </c>
      <c r="F32" s="54" t="s">
        <v>57</v>
      </c>
    </row>
    <row r="33" spans="2:2" x14ac:dyDescent="0.25">
      <c r="B33" s="24"/>
    </row>
    <row r="34" spans="2:2" x14ac:dyDescent="0.25">
      <c r="B34" s="24"/>
    </row>
    <row r="35" spans="2:2" x14ac:dyDescent="0.25">
      <c r="B35" s="24"/>
    </row>
    <row r="36" spans="2:2" x14ac:dyDescent="0.25">
      <c r="B36" s="24"/>
    </row>
    <row r="37" spans="2:2" x14ac:dyDescent="0.25">
      <c r="B37" s="24"/>
    </row>
    <row r="38" spans="2:2" x14ac:dyDescent="0.25">
      <c r="B38" s="24"/>
    </row>
    <row r="39" spans="2:2" x14ac:dyDescent="0.25">
      <c r="B39" s="24"/>
    </row>
    <row r="40" spans="2:2" x14ac:dyDescent="0.25">
      <c r="B40" s="24"/>
    </row>
    <row r="41" spans="2:2" x14ac:dyDescent="0.25">
      <c r="B41" s="24"/>
    </row>
    <row r="42" spans="2:2" x14ac:dyDescent="0.25">
      <c r="B42" s="24"/>
    </row>
    <row r="43" spans="2:2" x14ac:dyDescent="0.25">
      <c r="B43" s="24"/>
    </row>
    <row r="44" spans="2:2" x14ac:dyDescent="0.25">
      <c r="B44" s="24"/>
    </row>
    <row r="45" spans="2:2" x14ac:dyDescent="0.25">
      <c r="B45" s="24"/>
    </row>
    <row r="46" spans="2:2" x14ac:dyDescent="0.25">
      <c r="B46" s="24"/>
    </row>
    <row r="47" spans="2:2" x14ac:dyDescent="0.25">
      <c r="B47" s="24"/>
    </row>
    <row r="48" spans="2:2" x14ac:dyDescent="0.25">
      <c r="B48" s="24"/>
    </row>
  </sheetData>
  <mergeCells count="2">
    <mergeCell ref="B1:C2"/>
    <mergeCell ref="A3:XFD6"/>
  </mergeCells>
  <conditionalFormatting sqref="C8:C32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1038225</xdr:colOff>
                    <xdr:row>3</xdr:row>
                    <xdr:rowOff>28575</xdr:rowOff>
                  </from>
                  <to>
                    <xdr:col>3</xdr:col>
                    <xdr:colOff>981075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aveCSV">
                <anchor moveWithCells="1" sizeWithCells="1">
                  <from>
                    <xdr:col>3</xdr:col>
                    <xdr:colOff>2943225</xdr:colOff>
                    <xdr:row>3</xdr:row>
                    <xdr:rowOff>38100</xdr:rowOff>
                  </from>
                  <to>
                    <xdr:col>3</xdr:col>
                    <xdr:colOff>3971925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3" customFormat="1" ht="15" customHeight="1" x14ac:dyDescent="0.25">
      <c r="B1" s="53" t="s">
        <v>24</v>
      </c>
      <c r="C1" s="53"/>
      <c r="D1" s="53"/>
      <c r="E1" s="53"/>
    </row>
    <row r="2" spans="2:5" s="23" customFormat="1" ht="15" customHeight="1" x14ac:dyDescent="0.25">
      <c r="B2" s="53"/>
      <c r="C2" s="53"/>
      <c r="D2" s="53"/>
      <c r="E2" s="53"/>
    </row>
  </sheetData>
  <mergeCells count="1">
    <mergeCell ref="B1:E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E7671-B862-4A37-8196-0C2819A3966A}">
  <sheetPr codeName="Sheet4"/>
  <dimension ref="A1:B11"/>
  <sheetViews>
    <sheetView workbookViewId="0">
      <selection activeCell="F27" sqref="F27"/>
    </sheetView>
  </sheetViews>
  <sheetFormatPr defaultRowHeight="15" x14ac:dyDescent="0.25"/>
  <cols>
    <col min="1" max="1" width="29.85546875" bestFit="1" customWidth="1"/>
    <col min="2" max="2" width="12.28515625" bestFit="1" customWidth="1"/>
  </cols>
  <sheetData>
    <row r="1" spans="1:2" x14ac:dyDescent="0.25">
      <c r="A1" t="s">
        <v>13</v>
      </c>
      <c r="B1" t="s">
        <v>2</v>
      </c>
    </row>
    <row r="2" spans="1:2" x14ac:dyDescent="0.25">
      <c r="A2" t="s">
        <v>11</v>
      </c>
      <c r="B2" t="s">
        <v>57</v>
      </c>
    </row>
    <row r="3" spans="1:2" x14ac:dyDescent="0.25">
      <c r="A3" t="s">
        <v>8</v>
      </c>
      <c r="B3" t="s">
        <v>56</v>
      </c>
    </row>
    <row r="4" spans="1:2" x14ac:dyDescent="0.25">
      <c r="A4" t="s">
        <v>4</v>
      </c>
    </row>
    <row r="5" spans="1:2" x14ac:dyDescent="0.25">
      <c r="A5" t="s">
        <v>10</v>
      </c>
    </row>
    <row r="6" spans="1:2" x14ac:dyDescent="0.25">
      <c r="A6" t="s">
        <v>40</v>
      </c>
    </row>
    <row r="7" spans="1:2" x14ac:dyDescent="0.25">
      <c r="A7" t="s">
        <v>7</v>
      </c>
    </row>
    <row r="8" spans="1:2" x14ac:dyDescent="0.25">
      <c r="A8" t="s">
        <v>3</v>
      </c>
    </row>
    <row r="9" spans="1:2" x14ac:dyDescent="0.25">
      <c r="A9" t="s">
        <v>5</v>
      </c>
    </row>
    <row r="10" spans="1:2" x14ac:dyDescent="0.25">
      <c r="A10" t="s">
        <v>6</v>
      </c>
    </row>
    <row r="11" spans="1:2" x14ac:dyDescent="0.25">
      <c r="A11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Budget Dashboard</vt:lpstr>
      <vt:lpstr>Income and Expenses</vt:lpstr>
      <vt:lpstr>Calculations</vt:lpstr>
      <vt:lpstr>Transaction Categories</vt:lpstr>
      <vt:lpstr>current_year</vt:lpstr>
      <vt:lpstr>Expenses</vt:lpstr>
      <vt:lpstr>'Transaction Categories'!ExternalData_1</vt:lpstr>
      <vt:lpstr>'Transaction Categories'!ExternalData_2</vt:lpstr>
      <vt:lpstr>'Transaction Categories'!ExternalData_3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2024-10-26T08:15:58Z</dcterms:modified>
</cp:coreProperties>
</file>