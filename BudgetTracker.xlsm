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7658AFB4-2603-4645-9958-B61D4D5FFF3A}" xr6:coauthVersionLast="47" xr6:coauthVersionMax="47" xr10:uidLastSave="{00000000-0000-0000-0000-000000000000}"/>
  <bookViews>
    <workbookView xWindow="14775" yWindow="1935" windowWidth="30525" windowHeight="17400" xr2:uid="{3CCECE8A-1D95-4C41-B52A-23F1772B54AF}"/>
  </bookViews>
  <sheets>
    <sheet name="Budget Dashboard" sheetId="2" r:id="rId1"/>
    <sheet name="Income and Expenses" sheetId="1" r:id="rId2"/>
    <sheet name="Calculations" sheetId="3" r:id="rId3"/>
    <sheet name="Transaction Categories" sheetId="6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3">'Transaction Categories'!$A$1:$B$11</definedName>
    <definedName name="ExternalData_2" localSheetId="3">'Transaction Categories'!$A$1:$B$11</definedName>
    <definedName name="ExternalData_3" localSheetId="3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24" i="2"/>
  <c r="B23" i="2"/>
  <c r="B22" i="2"/>
  <c r="B21" i="2"/>
  <c r="B20" i="2"/>
  <c r="B19" i="2"/>
  <c r="B18" i="2"/>
  <c r="B17" i="2"/>
  <c r="B16" i="2"/>
  <c r="B15" i="2"/>
  <c r="B11" i="2"/>
  <c r="B10" i="2"/>
  <c r="D25" i="2"/>
  <c r="B7" i="2"/>
  <c r="C16" i="2"/>
  <c r="C23" i="2"/>
  <c r="C24" i="2"/>
  <c r="C15" i="2"/>
  <c r="C17" i="2"/>
  <c r="C11" i="2"/>
  <c r="C22" i="2"/>
  <c r="C10" i="2"/>
  <c r="C30" i="2"/>
  <c r="C18" i="2"/>
  <c r="C20" i="2"/>
  <c r="C19" i="2"/>
  <c r="C21" i="2"/>
  <c r="E22" i="2" l="1"/>
  <c r="E16" i="2"/>
  <c r="G17" i="2"/>
  <c r="E18" i="2"/>
  <c r="G19" i="2"/>
  <c r="G24" i="2"/>
  <c r="E20" i="2"/>
  <c r="G21" i="2"/>
  <c r="E23" i="2"/>
  <c r="G10" i="2"/>
  <c r="F22" i="2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<sst xmlns="http://schemas.openxmlformats.org/spreadsheetml/2006/main" count="123" uniqueCount="58">
  <si>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</si>
  <si>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</si>
  <si>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</si>
  <si>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</si>
  <si>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</si>
  <si>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</si>
  <si>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</si>
  <si>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</si>
  <si>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</si>
  <si>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</si>
  <si>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</si>
  <si>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</si>
  <si>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</si>
  <si>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</si>
  <si>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</si>
  <si>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</si>
  <si>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</si>
  <si>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</si>
  <si>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</si>
  <si>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</si>
  <si>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</si>
  <si>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</si>
  <si>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</si>
  <si>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</si>
  <si>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</si>
  <si>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</si>
  <si>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</si>
  <si>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</si>
  <si>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</si>
  <si>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Medical Expenses</t>
  </si>
  <si>
    <t>INTEREST PAYMENT</t>
  </si>
  <si>
    <t>INSTITUTION</t>
  </si>
  <si>
    <t>Wells Fargo</t>
  </si>
  <si>
    <t>HSA</t>
  </si>
  <si>
    <t>Employment</t>
  </si>
  <si>
    <t>Optum</t>
  </si>
  <si>
    <t>Service Charge</t>
  </si>
  <si>
    <t>Interest Payment</t>
  </si>
  <si>
    <t>November</t>
  </si>
  <si>
    <t>movie club fee</t>
  </si>
  <si>
    <t>HAIRCUT</t>
  </si>
  <si>
    <t>MONTHLY RENT</t>
  </si>
  <si>
    <t>CLOTHES</t>
  </si>
  <si>
    <t>Individual Contribution HSA</t>
  </si>
  <si>
    <t>Employer Contribution HSA</t>
  </si>
  <si>
    <t>GROCERY STORE</t>
  </si>
  <si>
    <t>MONTHLY DIVIDENDS</t>
  </si>
  <si>
    <t>Employer DIR DEP</t>
  </si>
  <si>
    <t>GYM MEMBERSHIP</t>
  </si>
  <si>
    <t>BOOK STORE</t>
  </si>
  <si>
    <t>SUPERMARKET</t>
  </si>
  <si>
    <t>dental expenses</t>
  </si>
  <si>
    <t>ITALIAN FOOD</t>
  </si>
  <si>
    <t>CASHED CHECK</t>
  </si>
  <si>
    <t>AIRLINE FLT</t>
  </si>
  <si>
    <t>USA GASOLINE</t>
  </si>
  <si>
    <t>CAR MAINTAINENCE FEE</t>
  </si>
  <si>
    <t>FRESH 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</si>
</sst>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164" fontId="0" fillId="8" borderId="0" xfId="0" applyNumberFormat="1" applyFill="1"/>
    <xf numFmtId="164" fontId="0" fillId="2" borderId="0" xfId="0" applyNumberFormat="1" applyFill="1"/>
    <xf numFmtId="164" fontId="1" fillId="2" borderId="0" xfId="0" applyNumberFormat="1" applyFon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17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16"/>
      <tableStyleElement type="headerRow" dxfId="15"/>
      <tableStyleElement type="firstRowStripe" dxfId="14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1038225</xdr:colOff>
          <xdr:row>3</xdr:row>
          <xdr:rowOff>28575</xdr:rowOff>
        </xdr:from>
        <xdr:to>
          <xdr:col>3</xdr:col>
          <xdr:colOff>981075</xdr:colOff>
          <xdr:row>5</xdr:row>
          <xdr:rowOff>19050</xdr:rowOff>
        </xdr:to>
        <xdr:sp macro="" textlink="">
          <xdr:nvSpPr>
            <xdr:cNvPr id="3073" name="Button_Import_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2943225</xdr:colOff>
          <xdr:row>3</xdr:row>
          <xdr:rowOff>38100</xdr:rowOff>
        </xdr:from>
        <xdr:to>
          <xdr:col>3</xdr:col>
          <xdr:colOff>3971925</xdr:colOff>
          <xdr:row>5</xdr:row>
          <xdr:rowOff>28575</xdr:rowOff>
        </xdr:to>
        <xdr:sp macro="" textlink="">
          <xdr:nvSpPr>
            <xdr:cNvPr id="3074" name="Button_Import_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2</xdr:col>
      <xdr:colOff>1038225</xdr:colOff>
      <xdr:row>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707A8B-4953-436F-8CD8-0ED3F9E6A9F2}"/>
            </a:ext>
          </a:extLst>
        </xdr:cNvPr>
        <xdr:cNvSpPr txBox="1"/>
      </xdr:nvSpPr>
      <xdr:spPr>
        <a:xfrm>
          <a:off x="447675" y="762000"/>
          <a:ext cx="2124075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import and process data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1390651</xdr:colOff>
      <xdr:row>4</xdr:row>
      <xdr:rowOff>0</xdr:rowOff>
    </xdr:from>
    <xdr:to>
      <xdr:col>3</xdr:col>
      <xdr:colOff>2857501</xdr:colOff>
      <xdr:row>5</xdr:row>
      <xdr:rowOff>66676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22FB729-CEA8-4803-838B-A15B943E8DBB}"/>
            </a:ext>
          </a:extLst>
        </xdr:cNvPr>
        <xdr:cNvSpPr txBox="1"/>
      </xdr:nvSpPr>
      <xdr:spPr>
        <a:xfrm>
          <a:off x="4010026" y="762000"/>
          <a:ext cx="1466850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save changes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24A3FC-5FD1-4E84-AA52-5677E62E0193}" name="Transactions" displayName="Transactions" ref="B7:F32" totalsRowShown="0" headerRowDxfId="0" dataDxfId="6">
  <autoFilter ref="B7:F32" xr:uid="{7824A3FC-5FD1-4E84-AA52-5677E62E0193}"/>
  <tableColumns count="5">
    <tableColumn id="1" xr3:uid="{6AB68BEC-07D2-4288-9796-1A86C40BF3B5}" name="DATE" dataDxfId="5"/>
    <tableColumn id="2" xr3:uid="{A4D2662F-3723-4DF9-9BB5-9778213CD208}" name="AMOUNT" dataDxfId="3"/>
    <tableColumn id="3" xr3:uid="{B5CFE080-93F7-4AC3-BBC0-6C1003AFD5E3}" name="DESCRIPTION" dataDxfId="4"/>
    <tableColumn id="4" xr3:uid="{46E7C2F7-D25E-4A46-97D7-32C276FF95CD}" name="INSTITUTION" dataDxfId="8"/>
    <tableColumn id="5" xr3:uid="{2BA9FA6E-4468-4E9D-BBE2-28AD6E4EE67C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30"/>
  <sheetViews>
    <sheetView tabSelected="1" zoomScale="115" zoomScaleNormal="115" workbookViewId="0">
      <selection activeCell="I18" sqref="I18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50" t="s">
        <v>20</v>
      </c>
      <c r="C1" s="51"/>
    </row>
    <row r="2" spans="2:15" s="22" customFormat="1" ht="14.45" customHeight="1" x14ac:dyDescent="0.2">
      <c r="B2" s="51"/>
      <c r="C2" s="51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2" t="s">
        <v>21</v>
      </c>
      <c r="E5" s="52"/>
      <c r="F5" s="11" t="s">
        <v>38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3" t="str">
        <f>"Breakdown - "&amp;F5&amp;" "&amp;current_year</f>
        <v>Breakdown - November 2023</v>
      </c>
      <c r="C7" s="53"/>
      <c r="D7" s="53"/>
      <c r="E7" s="53"/>
      <c r="F7" s="53"/>
      <c r="G7" s="53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 ca="1">ABS(SUMIFS(INDIRECT("Transactions[AMOUNT]"), INDIRECT("Transactions[CATEGORY]"), B10))</f>
        <v>2700.4300000000003</v>
      </c>
      <c r="D10" s="42">
        <v>6000</v>
      </c>
      <c r="E10" s="43">
        <f ca="1">C10/D10</f>
        <v>0.4500716666666667</v>
      </c>
      <c r="F10" s="42">
        <f ca="1">IF(D10-C10&gt;0,D10-C10,"-")</f>
        <v>3299.5699999999997</v>
      </c>
      <c r="G10" s="44" t="str">
        <f ca="1">IF(C10-D10&gt;0,C10-D10,"-")</f>
        <v>-</v>
      </c>
      <c r="H10" s="5"/>
      <c r="I10" s="48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1">
        <f ca="1">ABS(SUMIFS(INDIRECT("Transactions[AMOUNT]"), INDIRECT("Transactions[CATEGORY]"), B11))</f>
        <v>999.99</v>
      </c>
      <c r="D11" s="34">
        <f>57.69*2</f>
        <v>115.38</v>
      </c>
      <c r="E11" s="45">
        <f ca="1">C11/D11</f>
        <v>8.6669266770670834</v>
      </c>
      <c r="F11" s="34" t="str">
        <f ca="1">IF(D11-C11&gt;0,D11-C11,"-")</f>
        <v>-</v>
      </c>
      <c r="G11" s="46">
        <f ca="1">IF(C11-D11&gt;0,C11-D11,"-")</f>
        <v>884.61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 ca="1">SUM(C10:C11)</f>
        <v>3700.42</v>
      </c>
      <c r="D12" s="18">
        <f>SUM(D10:D11)</f>
        <v>6115.38</v>
      </c>
      <c r="E12" s="20">
        <f ca="1">C12/D12</f>
        <v>0.60510058246584841</v>
      </c>
      <c r="F12" s="18">
        <f ca="1">IF(D12-C12&gt;0,D12-C12,"-")</f>
        <v>2414.96</v>
      </c>
      <c r="G12" s="17" t="str">
        <f ca="1"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 ca="1">ABS(SUMIFS(INDIRECT("Transactions[AMOUNT]"), INDIRECT("Transactions[CATEGORY]"), B15))</f>
        <v>66.97</v>
      </c>
      <c r="D15" s="30">
        <v>200</v>
      </c>
      <c r="E15" s="31">
        <f t="shared" ref="E15:E20" ca="1" si="0">C15/D15</f>
        <v>0.33484999999999998</v>
      </c>
      <c r="F15" s="33">
        <f t="shared" ref="F15:F20" ca="1" si="1">IF(D15-C15&gt;0,D15-C15,"-")</f>
        <v>133.03</v>
      </c>
      <c r="G15" s="32" t="str">
        <f t="shared" ref="G15:G20" ca="1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 t="shared" ref="C16:C24" ca="1" si="3">ABS(SUMIFS(INDIRECT("Transactions[AMOUNT]"), INDIRECT("Transactions[CATEGORY]"), B16))</f>
        <v>45</v>
      </c>
      <c r="D16" s="30">
        <v>200</v>
      </c>
      <c r="E16" s="31">
        <f t="shared" ca="1" si="0"/>
        <v>0.22500000000000001</v>
      </c>
      <c r="F16" s="33">
        <f t="shared" ca="1" si="1"/>
        <v>155</v>
      </c>
      <c r="G16" s="32" t="str">
        <f t="shared" ca="1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 t="shared" ca="1" si="3"/>
        <v>383.52</v>
      </c>
      <c r="D17" s="30">
        <v>500</v>
      </c>
      <c r="E17" s="31">
        <f t="shared" ca="1" si="0"/>
        <v>0.76703999999999994</v>
      </c>
      <c r="F17" s="33">
        <f t="shared" ca="1" si="1"/>
        <v>116.48000000000002</v>
      </c>
      <c r="G17" s="32" t="str">
        <f t="shared" ca="1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 t="shared" ca="1" si="3"/>
        <v>0</v>
      </c>
      <c r="D18" s="30">
        <v>250</v>
      </c>
      <c r="E18" s="31">
        <f t="shared" ca="1" si="0"/>
        <v>0</v>
      </c>
      <c r="F18" s="33">
        <f t="shared" ca="1" si="1"/>
        <v>250</v>
      </c>
      <c r="G18" s="32" t="str">
        <f t="shared" ca="1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 t="shared" ca="1" si="3"/>
        <v>60</v>
      </c>
      <c r="D19" s="30">
        <v>200</v>
      </c>
      <c r="E19" s="31">
        <f t="shared" ca="1" si="0"/>
        <v>0.3</v>
      </c>
      <c r="F19" s="33">
        <f t="shared" ca="1" si="1"/>
        <v>140</v>
      </c>
      <c r="G19" s="32" t="str">
        <f t="shared" ca="1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 t="shared" ca="1" si="3"/>
        <v>62.69</v>
      </c>
      <c r="D20" s="30">
        <v>450</v>
      </c>
      <c r="E20" s="31">
        <f t="shared" ca="1" si="0"/>
        <v>0.13931111111111111</v>
      </c>
      <c r="F20" s="33">
        <f t="shared" ca="1" si="1"/>
        <v>387.31</v>
      </c>
      <c r="G20" s="32" t="str">
        <f t="shared" ca="1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 t="shared" ca="1" si="3"/>
        <v>174.88</v>
      </c>
      <c r="D21" s="30">
        <v>2000</v>
      </c>
      <c r="E21" s="31">
        <f ca="1">C21/D21</f>
        <v>8.7440000000000004E-2</v>
      </c>
      <c r="F21" s="33">
        <f ca="1">IF(D21-C21&gt;0,D21-C21,"-")</f>
        <v>1825.12</v>
      </c>
      <c r="G21" s="32" t="str">
        <f ca="1"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 t="shared" ca="1" si="3"/>
        <v>60</v>
      </c>
      <c r="D22" s="30">
        <v>200</v>
      </c>
      <c r="E22" s="31">
        <f ca="1">C22/D22</f>
        <v>0.3</v>
      </c>
      <c r="F22" s="33">
        <f ca="1">IF(D22-C22&gt;0,D22-C22,"-")</f>
        <v>140</v>
      </c>
      <c r="G22" s="32" t="str">
        <f ca="1"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 t="shared" ca="1" si="3"/>
        <v>1000</v>
      </c>
      <c r="D23" s="30">
        <v>400</v>
      </c>
      <c r="E23" s="31">
        <f ca="1">C23/D23</f>
        <v>2.5</v>
      </c>
      <c r="F23" s="33" t="str">
        <f ca="1">IF(D23-C23&gt;0,D23-C23,"-")</f>
        <v>-</v>
      </c>
      <c r="G23" s="32">
        <f ca="1"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 t="shared" ca="1" si="3"/>
        <v>0</v>
      </c>
      <c r="D24" s="34">
        <v>300</v>
      </c>
      <c r="E24" s="35">
        <f ca="1">C24/D24</f>
        <v>0</v>
      </c>
      <c r="F24" s="37">
        <f ca="1">IF(D24-C24&gt;0,D24-C24,"-")</f>
        <v>300</v>
      </c>
      <c r="G24" s="36" t="str">
        <f ca="1"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 ca="1">SUM(C15:C24)</f>
        <v>1853.06</v>
      </c>
      <c r="D25" s="18">
        <f>SUM(D15:D24)</f>
        <v>4700</v>
      </c>
      <c r="E25" s="21">
        <f ca="1">C25/D25</f>
        <v>0.39426808510638295</v>
      </c>
      <c r="F25" s="38">
        <f ca="1">IF(D25-C25&gt;0,D25-C25,"-")</f>
        <v>2846.94</v>
      </c>
      <c r="G25" s="19" t="str">
        <f ca="1"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 ca="1">C12-C25</f>
        <v>1847.3600000000001</v>
      </c>
      <c r="D28" s="18">
        <f>D12-D25</f>
        <v>1415.38</v>
      </c>
      <c r="E28" s="21">
        <f ca="1">C28/D28</f>
        <v>1.305204256100835</v>
      </c>
      <c r="F28" s="38" t="str">
        <f ca="1">IF(D28-C28&gt;0,D28-C28,"-")</f>
        <v>-</v>
      </c>
      <c r="G28" s="19">
        <f ca="1">IF(C28-D28&gt;0,C28-D28,"-")</f>
        <v>431.98</v>
      </c>
    </row>
    <row r="30" spans="2:13" x14ac:dyDescent="0.2">
      <c r="C30" s="49">
        <f ca="1">SUM(INDIRECT("Transactions[AMOUNT]"))</f>
        <v>1407.36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13" priority="4" operator="lessThan">
      <formula>$D$25</formula>
    </cfRule>
  </conditionalFormatting>
  <conditionalFormatting sqref="C25">
    <cfRule type="cellIs" dxfId="12" priority="8" operator="greaterThan">
      <formula>$D$25</formula>
    </cfRule>
  </conditionalFormatting>
  <conditionalFormatting sqref="C28">
    <cfRule type="cellIs" dxfId="11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27"/>
  <sheetViews>
    <sheetView topLeftCell="A4" zoomScaleNormal="100" workbookViewId="0">
      <selection activeCell="F21" sqref="F21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4" t="s">
        <v>23</v>
      </c>
      <c r="C1" s="54"/>
    </row>
    <row r="2" spans="2:6" s="23" customFormat="1" x14ac:dyDescent="0.25">
      <c r="B2" s="54"/>
      <c r="C2" s="54"/>
    </row>
    <row r="3" spans="2:6" s="55" customFormat="1" x14ac:dyDescent="0.25"/>
    <row r="4" spans="2:6" s="55" customFormat="1" x14ac:dyDescent="0.25"/>
    <row r="5" spans="2:6" s="55" customFormat="1" x14ac:dyDescent="0.25"/>
    <row r="6" spans="2:6" s="55" customFormat="1" x14ac:dyDescent="0.25">
      <c r="B6" s="56"/>
      <c r="C6" s="56"/>
      <c r="D6" s="56"/>
      <c r="E6" s="56"/>
      <c r="F6" s="56"/>
    </row>
    <row r="7" spans="2:6" x14ac:dyDescent="0.25">
      <c r="B7" s="61" t="s">
        <v>25</v>
      </c>
      <c r="C7" s="61" t="s">
        <v>26</v>
      </c>
      <c r="D7" s="61" t="s">
        <v>27</v>
      </c>
      <c r="E7" s="61" t="s">
        <v>31</v>
      </c>
      <c r="F7" s="61" t="s">
        <v>28</v>
      </c>
    </row>
    <row r="8" spans="2:6" x14ac:dyDescent="0.25">
      <c r="B8" s="59">
        <v>45231</v>
      </c>
      <c r="C8" s="60">
        <v>-11.75</v>
      </c>
      <c r="D8" s="58" t="s">
        <v>39</v>
      </c>
      <c r="E8" s="58" t="s">
        <v>32</v>
      </c>
      <c r="F8" s="58" t="s">
        <v>7</v>
      </c>
    </row>
    <row r="9" spans="2:6" x14ac:dyDescent="0.25">
      <c r="B9" s="59">
        <v>45231</v>
      </c>
      <c r="C9" s="60">
        <v>-44.93</v>
      </c>
      <c r="D9" s="58" t="s">
        <v>40</v>
      </c>
      <c r="E9" s="58" t="s">
        <v>32</v>
      </c>
      <c r="F9" s="58" t="s">
        <v>3</v>
      </c>
    </row>
    <row r="10" spans="2:6" x14ac:dyDescent="0.25">
      <c r="B10" s="59">
        <v>45231</v>
      </c>
      <c r="C10" s="60">
        <v>-1000</v>
      </c>
      <c r="D10" s="58" t="s">
        <v>41</v>
      </c>
      <c r="E10" s="58" t="s">
        <v>32</v>
      </c>
      <c r="F10" s="58" t="s">
        <v>5</v>
      </c>
    </row>
    <row r="11" spans="2:6" x14ac:dyDescent="0.25">
      <c r="B11" s="59">
        <v>45232</v>
      </c>
      <c r="C11" s="60">
        <v>-66</v>
      </c>
      <c r="D11" s="58" t="s">
        <v>42</v>
      </c>
      <c r="E11" s="58" t="s">
        <v>32</v>
      </c>
      <c r="F11" s="58" t="s">
        <v>3</v>
      </c>
    </row>
    <row r="12" spans="2:6" x14ac:dyDescent="0.25">
      <c r="B12" s="59">
        <v>45238</v>
      </c>
      <c r="C12" s="60">
        <v>300</v>
      </c>
      <c r="D12" s="58" t="s">
        <v>43</v>
      </c>
      <c r="E12" s="58" t="s">
        <v>35</v>
      </c>
      <c r="F12" s="58" t="s">
        <v>33</v>
      </c>
    </row>
    <row r="13" spans="2:6" x14ac:dyDescent="0.25">
      <c r="B13" s="59">
        <v>45238</v>
      </c>
      <c r="C13" s="60">
        <v>200.01</v>
      </c>
      <c r="D13" s="58" t="s">
        <v>44</v>
      </c>
      <c r="E13" s="58" t="s">
        <v>35</v>
      </c>
      <c r="F13" s="58" t="s">
        <v>33</v>
      </c>
    </row>
    <row r="14" spans="2:6" x14ac:dyDescent="0.25">
      <c r="B14" s="59">
        <v>45238</v>
      </c>
      <c r="C14" s="60">
        <v>-158</v>
      </c>
      <c r="D14" s="58" t="s">
        <v>45</v>
      </c>
      <c r="E14" s="58" t="s">
        <v>32</v>
      </c>
      <c r="F14" s="58" t="s">
        <v>4</v>
      </c>
    </row>
    <row r="15" spans="2:6" x14ac:dyDescent="0.25">
      <c r="B15" s="59">
        <v>45239</v>
      </c>
      <c r="C15" s="60">
        <v>500</v>
      </c>
      <c r="D15" s="58" t="s">
        <v>46</v>
      </c>
      <c r="E15" s="58" t="s">
        <v>32</v>
      </c>
      <c r="F15" s="58" t="s">
        <v>34</v>
      </c>
    </row>
    <row r="16" spans="2:6" x14ac:dyDescent="0.25">
      <c r="B16" s="59">
        <v>45239</v>
      </c>
      <c r="C16" s="60">
        <v>1000</v>
      </c>
      <c r="D16" s="58" t="s">
        <v>47</v>
      </c>
      <c r="E16" s="58" t="s">
        <v>32</v>
      </c>
      <c r="F16" s="58" t="s">
        <v>34</v>
      </c>
    </row>
    <row r="17" spans="2:6" x14ac:dyDescent="0.25">
      <c r="B17" s="59">
        <v>45243</v>
      </c>
      <c r="C17" s="60">
        <v>-50.94</v>
      </c>
      <c r="D17" s="58" t="s">
        <v>48</v>
      </c>
      <c r="E17" s="58" t="s">
        <v>32</v>
      </c>
      <c r="F17" s="58" t="s">
        <v>7</v>
      </c>
    </row>
    <row r="18" spans="2:6" x14ac:dyDescent="0.25">
      <c r="B18" s="59">
        <v>45244</v>
      </c>
      <c r="C18" s="60">
        <v>-63</v>
      </c>
      <c r="D18" s="58" t="s">
        <v>49</v>
      </c>
      <c r="E18" s="58" t="s">
        <v>32</v>
      </c>
      <c r="F18" s="58" t="s">
        <v>3</v>
      </c>
    </row>
    <row r="19" spans="2:6" x14ac:dyDescent="0.25">
      <c r="B19" s="59">
        <v>45244</v>
      </c>
      <c r="C19" s="60">
        <v>-152.94999999999999</v>
      </c>
      <c r="D19" s="58" t="s">
        <v>50</v>
      </c>
      <c r="E19" s="58" t="s">
        <v>32</v>
      </c>
      <c r="F19" s="58" t="s">
        <v>4</v>
      </c>
    </row>
    <row r="20" spans="2:6" x14ac:dyDescent="0.25">
      <c r="B20" s="59">
        <v>45250</v>
      </c>
      <c r="C20" s="60">
        <v>-60</v>
      </c>
      <c r="D20" s="58" t="s">
        <v>51</v>
      </c>
      <c r="E20" s="58" t="s">
        <v>32</v>
      </c>
      <c r="F20" s="58" t="s">
        <v>29</v>
      </c>
    </row>
    <row r="21" spans="2:6" x14ac:dyDescent="0.25">
      <c r="B21" s="59">
        <v>45252</v>
      </c>
      <c r="C21" s="60">
        <v>1000</v>
      </c>
      <c r="D21" s="58" t="s">
        <v>47</v>
      </c>
      <c r="E21" s="58" t="s">
        <v>32</v>
      </c>
      <c r="F21" s="58" t="s">
        <v>34</v>
      </c>
    </row>
    <row r="22" spans="2:6" x14ac:dyDescent="0.25">
      <c r="B22" s="59">
        <v>45252</v>
      </c>
      <c r="C22" s="60">
        <v>-51.07</v>
      </c>
      <c r="D22" s="58" t="s">
        <v>52</v>
      </c>
      <c r="E22" s="58" t="s">
        <v>32</v>
      </c>
      <c r="F22" s="58" t="s">
        <v>4</v>
      </c>
    </row>
    <row r="23" spans="2:6" x14ac:dyDescent="0.25">
      <c r="B23" s="59">
        <v>45252</v>
      </c>
      <c r="C23" s="60">
        <v>199.98</v>
      </c>
      <c r="D23" s="58" t="s">
        <v>44</v>
      </c>
      <c r="E23" s="58" t="s">
        <v>35</v>
      </c>
      <c r="F23" s="58" t="s">
        <v>33</v>
      </c>
    </row>
    <row r="24" spans="2:6" x14ac:dyDescent="0.25">
      <c r="B24" s="59">
        <v>45252</v>
      </c>
      <c r="C24" s="60">
        <v>300</v>
      </c>
      <c r="D24" s="58" t="s">
        <v>43</v>
      </c>
      <c r="E24" s="58" t="s">
        <v>35</v>
      </c>
      <c r="F24" s="58" t="s">
        <v>33</v>
      </c>
    </row>
    <row r="25" spans="2:6" x14ac:dyDescent="0.25">
      <c r="B25" s="59">
        <v>45254</v>
      </c>
      <c r="C25" s="60">
        <v>200</v>
      </c>
      <c r="D25" s="58" t="s">
        <v>53</v>
      </c>
      <c r="E25" s="58" t="s">
        <v>32</v>
      </c>
      <c r="F25" s="58" t="s">
        <v>34</v>
      </c>
    </row>
    <row r="26" spans="2:6" x14ac:dyDescent="0.25">
      <c r="B26" s="59">
        <v>45254</v>
      </c>
      <c r="C26" s="60">
        <v>-500</v>
      </c>
      <c r="D26" s="58" t="s">
        <v>54</v>
      </c>
      <c r="E26" s="58" t="s">
        <v>32</v>
      </c>
      <c r="F26" s="58" t="s">
        <v>9</v>
      </c>
    </row>
    <row r="27" spans="2:6" x14ac:dyDescent="0.25">
      <c r="B27" s="59">
        <v>45254</v>
      </c>
      <c r="C27" s="60">
        <v>-45</v>
      </c>
      <c r="D27" s="58" t="s">
        <v>55</v>
      </c>
      <c r="E27" s="58" t="s">
        <v>32</v>
      </c>
      <c r="F27" s="58" t="s">
        <v>8</v>
      </c>
    </row>
    <row r="28" spans="2:6" x14ac:dyDescent="0.25">
      <c r="B28" s="59">
        <v>45260</v>
      </c>
      <c r="C28" s="60">
        <v>-66.97</v>
      </c>
      <c r="D28" s="58" t="s">
        <v>56</v>
      </c>
      <c r="E28" s="58" t="s">
        <v>32</v>
      </c>
      <c r="F28" s="58" t="s">
        <v>11</v>
      </c>
    </row>
    <row r="29" spans="2:6" x14ac:dyDescent="0.25">
      <c r="B29" s="59">
        <v>45260</v>
      </c>
      <c r="C29" s="60">
        <v>-21.5</v>
      </c>
      <c r="D29" s="58" t="s">
        <v>57</v>
      </c>
      <c r="E29" s="58" t="s">
        <v>32</v>
      </c>
      <c r="F29" s="58" t="s">
        <v>4</v>
      </c>
    </row>
    <row r="30" spans="2:6" x14ac:dyDescent="0.25">
      <c r="B30" s="59">
        <v>45260</v>
      </c>
      <c r="C30" s="60">
        <v>-0.95</v>
      </c>
      <c r="D30" s="58" t="s">
        <v>36</v>
      </c>
      <c r="E30" s="58" t="s">
        <v>35</v>
      </c>
      <c r="F30" s="58" t="s">
        <v>3</v>
      </c>
    </row>
    <row r="31" spans="2:6" x14ac:dyDescent="0.25">
      <c r="B31" s="59">
        <v>45260</v>
      </c>
      <c r="C31" s="60">
        <v>0.42</v>
      </c>
      <c r="D31" s="58" t="s">
        <v>30</v>
      </c>
      <c r="E31" s="58" t="s">
        <v>32</v>
      </c>
      <c r="F31" s="58" t="s">
        <v>34</v>
      </c>
    </row>
    <row r="32" spans="2:6" x14ac:dyDescent="0.25">
      <c r="B32" s="59">
        <v>45260</v>
      </c>
      <c r="C32" s="60">
        <v>0.01</v>
      </c>
      <c r="D32" s="58" t="s">
        <v>37</v>
      </c>
      <c r="E32" s="58" t="s">
        <v>35</v>
      </c>
      <c r="F32" s="58" t="s">
        <v>34</v>
      </c>
    </row>
    <row r="33" spans="2:2" x14ac:dyDescent="0.25">
      <c r="B33" s="24"/>
    </row>
    <row r="34" spans="2:2" x14ac:dyDescent="0.25">
      <c r="B34" s="24"/>
    </row>
    <row r="35" spans="2:2" x14ac:dyDescent="0.25">
      <c r="B35" s="24"/>
    </row>
    <row r="36" spans="2:2" x14ac:dyDescent="0.25">
      <c r="B36" s="24"/>
    </row>
    <row r="37" spans="2:2" x14ac:dyDescent="0.25">
      <c r="B37" s="24"/>
    </row>
    <row r="38" spans="2:2" x14ac:dyDescent="0.25">
      <c r="B38" s="24"/>
    </row>
    <row r="39" spans="2:2" x14ac:dyDescent="0.25">
      <c r="B39" s="24"/>
    </row>
    <row r="40" spans="2:2" x14ac:dyDescent="0.25">
      <c r="B40" s="24"/>
    </row>
    <row r="41" spans="2:2" x14ac:dyDescent="0.25">
      <c r="B41" s="24"/>
    </row>
    <row r="42" spans="2:2" x14ac:dyDescent="0.25">
      <c r="B42" s="24"/>
    </row>
    <row r="43" spans="2:2" x14ac:dyDescent="0.25">
      <c r="B43" s="24"/>
    </row>
    <row r="44" spans="2:2" x14ac:dyDescent="0.25">
      <c r="B44" s="24"/>
    </row>
    <row r="45" spans="2:2" x14ac:dyDescent="0.25">
      <c r="B45" s="24"/>
    </row>
    <row r="46" spans="2:2" x14ac:dyDescent="0.25">
      <c r="B46" s="24"/>
    </row>
    <row r="47" spans="2:2" x14ac:dyDescent="0.25">
      <c r="B47" s="24"/>
    </row>
    <row r="48" spans="2:2" x14ac:dyDescent="0.25">
      <c r="B48" s="24"/>
    </row>
    <row r="49" spans="2:2" x14ac:dyDescent="0.25">
      <c r="B49" s="24"/>
    </row>
    <row r="50" spans="2:2" x14ac:dyDescent="0.25">
      <c r="B50" s="24"/>
    </row>
    <row r="51" spans="2:2" x14ac:dyDescent="0.25">
      <c r="B51" s="24"/>
    </row>
    <row r="52" spans="2:2" x14ac:dyDescent="0.25">
      <c r="B52" s="24"/>
    </row>
    <row r="53" spans="2:2" x14ac:dyDescent="0.25">
      <c r="B53" s="24"/>
    </row>
    <row r="54" spans="2:2" x14ac:dyDescent="0.25">
      <c r="B54" s="24"/>
    </row>
    <row r="55" spans="2:2" x14ac:dyDescent="0.25">
      <c r="B55" s="24"/>
    </row>
    <row r="56" spans="2:2" x14ac:dyDescent="0.25">
      <c r="B56" s="24"/>
    </row>
    <row r="57" spans="2:2" x14ac:dyDescent="0.25">
      <c r="B57" s="24"/>
    </row>
    <row r="58" spans="2:2" x14ac:dyDescent="0.25">
      <c r="B58" s="24"/>
    </row>
    <row r="59" spans="2:2" x14ac:dyDescent="0.25">
      <c r="B59" s="24"/>
    </row>
    <row r="60" spans="2:2" x14ac:dyDescent="0.25">
      <c r="B60" s="24"/>
    </row>
    <row r="61" spans="2:2" x14ac:dyDescent="0.25">
      <c r="B61" s="24"/>
    </row>
    <row r="62" spans="2:2" x14ac:dyDescent="0.25">
      <c r="B62" s="24"/>
    </row>
    <row r="63" spans="2:2" x14ac:dyDescent="0.25">
      <c r="B63" s="24"/>
    </row>
    <row r="64" spans="2:2" x14ac:dyDescent="0.25">
      <c r="B64" s="24"/>
    </row>
    <row r="65" spans="2:2" x14ac:dyDescent="0.25">
      <c r="B65" s="24"/>
    </row>
    <row r="66" spans="2:2" x14ac:dyDescent="0.25">
      <c r="B66" s="24"/>
    </row>
    <row r="67" spans="2:2" x14ac:dyDescent="0.25">
      <c r="B67" s="24"/>
    </row>
    <row r="68" spans="2:2" x14ac:dyDescent="0.25">
      <c r="B68" s="24"/>
    </row>
    <row r="69" spans="2:2" x14ac:dyDescent="0.25">
      <c r="B69" s="24"/>
    </row>
    <row r="70" spans="2:2" x14ac:dyDescent="0.25">
      <c r="B70" s="24"/>
    </row>
    <row r="71" spans="2:2" x14ac:dyDescent="0.25">
      <c r="B71" s="24"/>
    </row>
    <row r="72" spans="2:2" x14ac:dyDescent="0.25">
      <c r="B72" s="24"/>
    </row>
    <row r="73" spans="2:2" x14ac:dyDescent="0.25">
      <c r="B73" s="24"/>
    </row>
    <row r="74" spans="2:2" x14ac:dyDescent="0.25">
      <c r="B74" s="24"/>
    </row>
    <row r="75" spans="2:2" x14ac:dyDescent="0.25">
      <c r="B75" s="24"/>
    </row>
    <row r="76" spans="2:2" x14ac:dyDescent="0.25">
      <c r="B76" s="24"/>
    </row>
    <row r="77" spans="2:2" x14ac:dyDescent="0.25">
      <c r="B77" s="24"/>
    </row>
    <row r="78" spans="2:2" x14ac:dyDescent="0.25">
      <c r="B78" s="24"/>
    </row>
    <row r="79" spans="2:2" x14ac:dyDescent="0.25">
      <c r="B79" s="24"/>
    </row>
    <row r="80" spans="2:2" x14ac:dyDescent="0.25">
      <c r="B80" s="24"/>
    </row>
    <row r="81" spans="2:2" x14ac:dyDescent="0.25">
      <c r="B81" s="24"/>
    </row>
    <row r="82" spans="2:2" x14ac:dyDescent="0.25">
      <c r="B82" s="24"/>
    </row>
    <row r="83" spans="2:2" x14ac:dyDescent="0.25">
      <c r="B83" s="24"/>
    </row>
    <row r="84" spans="2:2" x14ac:dyDescent="0.25">
      <c r="B84" s="24"/>
    </row>
    <row r="85" spans="2:2" x14ac:dyDescent="0.25">
      <c r="B85" s="24"/>
    </row>
    <row r="86" spans="2:2" x14ac:dyDescent="0.25">
      <c r="B86" s="24"/>
    </row>
    <row r="87" spans="2:2" x14ac:dyDescent="0.25">
      <c r="B87" s="24"/>
    </row>
    <row r="88" spans="2:2" x14ac:dyDescent="0.25">
      <c r="B88" s="24"/>
    </row>
    <row r="89" spans="2:2" x14ac:dyDescent="0.25">
      <c r="B89" s="24"/>
    </row>
    <row r="90" spans="2:2" x14ac:dyDescent="0.25">
      <c r="B90" s="24"/>
    </row>
    <row r="91" spans="2:2" x14ac:dyDescent="0.25">
      <c r="B91" s="24"/>
    </row>
    <row r="92" spans="2:2" x14ac:dyDescent="0.25">
      <c r="B92" s="24"/>
    </row>
    <row r="93" spans="2:2" x14ac:dyDescent="0.25">
      <c r="B93" s="24"/>
    </row>
    <row r="94" spans="2:2" x14ac:dyDescent="0.25">
      <c r="B94" s="24"/>
    </row>
    <row r="95" spans="2:2" x14ac:dyDescent="0.25">
      <c r="B95" s="24"/>
    </row>
    <row r="96" spans="2:2" x14ac:dyDescent="0.25">
      <c r="B96" s="24"/>
    </row>
    <row r="97" spans="2:2" x14ac:dyDescent="0.25">
      <c r="B97" s="24"/>
    </row>
    <row r="98" spans="2:2" x14ac:dyDescent="0.25">
      <c r="B98" s="24"/>
    </row>
    <row r="99" spans="2:2" x14ac:dyDescent="0.25">
      <c r="B99" s="24"/>
    </row>
    <row r="100" spans="2:2" x14ac:dyDescent="0.25">
      <c r="B100" s="24"/>
    </row>
    <row r="101" spans="2:2" x14ac:dyDescent="0.25">
      <c r="B101" s="24"/>
    </row>
    <row r="102" spans="2:2" x14ac:dyDescent="0.25">
      <c r="B102" s="24"/>
    </row>
    <row r="103" spans="2:2" x14ac:dyDescent="0.25">
      <c r="B103" s="24"/>
    </row>
    <row r="104" spans="2:2" x14ac:dyDescent="0.25">
      <c r="B104" s="24"/>
    </row>
    <row r="105" spans="2:2" x14ac:dyDescent="0.25">
      <c r="B105" s="24"/>
    </row>
    <row r="106" spans="2:2" x14ac:dyDescent="0.25">
      <c r="B106" s="24"/>
    </row>
    <row r="107" spans="2:2" x14ac:dyDescent="0.25">
      <c r="B107" s="24"/>
    </row>
    <row r="108" spans="2:2" x14ac:dyDescent="0.25">
      <c r="B108" s="24"/>
    </row>
    <row r="109" spans="2:2" x14ac:dyDescent="0.25">
      <c r="B109" s="24"/>
    </row>
    <row r="110" spans="2:2" x14ac:dyDescent="0.25">
      <c r="B110" s="24"/>
    </row>
    <row r="111" spans="2:2" x14ac:dyDescent="0.25">
      <c r="B111" s="24"/>
    </row>
    <row r="112" spans="2:2" x14ac:dyDescent="0.25">
      <c r="B112" s="24"/>
    </row>
    <row r="113" spans="2:3" x14ac:dyDescent="0.25">
      <c r="B113" s="24"/>
    </row>
    <row r="114" spans="2:3" x14ac:dyDescent="0.25">
      <c r="B114" s="24"/>
    </row>
    <row r="115" spans="2:3" x14ac:dyDescent="0.25">
      <c r="B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7" spans="2:3" x14ac:dyDescent="0.25">
      <c r="C127" s="47"/>
    </row>
  </sheetData>
  <mergeCells count="2">
    <mergeCell ref="B1:C2"/>
    <mergeCell ref="A3:XFD6"/>
  </mergeCells>
  <conditionalFormatting sqref="C8:C32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1038225</xdr:colOff>
                    <xdr:row>3</xdr:row>
                    <xdr:rowOff>28575</xdr:rowOff>
                  </from>
                  <to>
                    <xdr:col>3</xdr:col>
                    <xdr:colOff>981075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_Import_Data">
              <controlPr defaultSize="0" print="0" autoFill="0" autoPict="0" macro="[0]!SaveCSV">
                <anchor moveWithCells="1" sizeWithCells="1">
                  <from>
                    <xdr:col>3</xdr:col>
                    <xdr:colOff>2943225</xdr:colOff>
                    <xdr:row>3</xdr:row>
                    <xdr:rowOff>38100</xdr:rowOff>
                  </from>
                  <to>
                    <xdr:col>3</xdr:col>
                    <xdr:colOff>3971925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7" t="s">
        <v>24</v>
      </c>
      <c r="C1" s="57"/>
      <c r="D1" s="57"/>
      <c r="E1" s="57"/>
    </row>
    <row r="2" spans="2:5" s="23" customFormat="1" ht="15" customHeight="1" x14ac:dyDescent="0.25">
      <c r="B2" s="57"/>
      <c r="C2" s="57"/>
      <c r="D2" s="57"/>
      <c r="E2" s="57"/>
    </row>
  </sheetData>
  <mergeCells count="1">
    <mergeCell ref="B1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4"/>
  <dimension ref="A1:B11"/>
  <sheetViews>
    <sheetView workbookViewId="0">
      <selection activeCell="F27" sqref="F27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34</v>
      </c>
    </row>
    <row r="3" spans="1:2" x14ac:dyDescent="0.25">
      <c r="A3" t="s">
        <v>8</v>
      </c>
      <c r="B3" t="s">
        <v>33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29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Calculations</vt:lpstr>
      <vt:lpstr>Transaction Categories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2024-10-27T21:22:51Z</dcterms:modified>
</cp:coreProperties>
</file>