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2145EAB4-CFA1-4CEF-B0A3-61CEE6C8BE30}" xr6:coauthVersionLast="47" xr6:coauthVersionMax="47" xr10:uidLastSave="{00000000-0000-0000-0000-000000000000}"/>
  <bookViews>
    <workbookView xWindow="-120" yWindow="-120" windowWidth="51840" windowHeight="21240" xr2:uid="{3CCECE8A-1D95-4C41-B52A-23F1772B54AF}"/>
  </bookViews>
  <sheets>
    <sheet name="Budget Dashboard" sheetId="2" r:id="rId1"/>
    <sheet name="Income and Expenses" sheetId="1" r:id="rId2"/>
    <sheet name="Transaction Categories" sheetId="6" r:id="rId3"/>
    <sheet name="Calculations" sheetId="3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2">'Transaction Categories'!$A$1:$B$11</definedName>
    <definedName name="ExternalData_2" localSheetId="2">'Transaction Categories'!$A$1:$B$11</definedName>
    <definedName name="ExternalData_3" localSheetId="2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E22" i="2" s="1"/>
  <c r="B24" i="2"/>
  <c r="C24" i="2" s="1"/>
  <c r="G24" i="2" s="1"/>
  <c r="B23" i="2"/>
  <c r="C23" i="2" s="1"/>
  <c r="E23" i="2" s="1"/>
  <c r="B22" i="2"/>
  <c r="B21" i="2"/>
  <c r="C21" i="2" s="1"/>
  <c r="G21" i="2" s="1"/>
  <c r="B20" i="2"/>
  <c r="C20" i="2" s="1"/>
  <c r="E20" i="2" s="1"/>
  <c r="B19" i="2"/>
  <c r="C19" i="2" s="1"/>
  <c r="G19" i="2" s="1"/>
  <c r="B18" i="2"/>
  <c r="C18" i="2" s="1"/>
  <c r="E18" i="2" s="1"/>
  <c r="B17" i="2"/>
  <c r="C17" i="2" s="1"/>
  <c r="G17" i="2" s="1"/>
  <c r="B16" i="2"/>
  <c r="C16" i="2" s="1"/>
  <c r="E16" i="2" s="1"/>
  <c r="B15" i="2"/>
  <c r="C15" i="2" s="1"/>
  <c r="B11" i="2"/>
  <c r="C11" i="2" s="1"/>
  <c r="B10" i="2"/>
  <c r="C10" i="2" s="1"/>
  <c r="G10" i="2" s="1"/>
  <c r="D25" i="2"/>
  <c r="D12" i="2"/>
  <c r="B7" i="2"/>
  <c r="F22" i="2" l="1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<sst xmlns="http://schemas.openxmlformats.org/spreadsheetml/2006/main" count="123" uniqueCount="58">
  <si>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</si>
  <si>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</si>
  <si>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</si>
  <si>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</si>
  <si>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</si>
  <si>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</si>
  <si>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</si>
  <si>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</si>
  <si>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</si>
  <si>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</si>
  <si>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</si>
  <si>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</si>
  <si>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</si>
  <si>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</si>
  <si>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</si>
  <si>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</si>
  <si>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</si>
  <si>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</si>
  <si>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</si>
  <si>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</si>
  <si>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</si>
  <si>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</si>
  <si>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</si>
  <si>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</si>
  <si>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</si>
  <si>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</si>
  <si>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</si>
  <si>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</si>
  <si>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</si>
  <si>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</si>
  <si>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</si>
  <si>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</si>
  <si>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</si>
  <si>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</si>
  <si>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</si>
  <si>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</si>
  <si>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</si>
  <si>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</si>
  <si>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</si>
  <si>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</si>
  <si>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</si>
  <si>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</si>
  <si>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</si>
  <si>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</si>
  <si>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</si>
  <si>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</si>
  <si>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</si>
  <si>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</si>
  <si>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</si>
  <si>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</si>
  <si>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</si>
  <si>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</si>
  <si>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</si>
  <si>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</si>
  <si>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</si>
  <si>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</si>
  <si>
    <t>HSA</t>
  </si>
  <si>
    <t>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</si>
</sst>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165" fontId="1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14" fontId="0" fillId="0" borderId="0" xfId="0" applyNumberFormat="1"/>
    <xf numFmtId="164" fontId="0" fillId="0" borderId="0" xfId="0" applyNumberFormat="1"/>
    <xf numFmtId="0" fontId="11" fillId="0" borderId="0" xfId="0" applyFont="1" applyAlignment="1">
      <alignment horizontal="center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</cellXfs>
  <cellStyles count="1">
    <cellStyle name="Normal" xfId="0" builtinId="0"/>
  </cellStyles>
  <dxfs count="1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$&quot;#,##0.00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14"/>
      <tableStyleElement type="headerRow" dxfId="13"/>
      <tableStyleElement type="firstRowStripe" dxfId="12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1C2BBD-1309-4DA1-93C8-6464D2F189E6}" name="Transactions" displayName="Transactions" ref="B4:F29" totalsRowShown="0" headerRowDxfId="6" dataDxfId="5">
  <tableColumns count="5">
    <tableColumn id="1" xr3:uid="{2612A7A7-8DAC-41AE-B01E-E3E93D5794A5}" name="DATE" dataDxfId="4"/>
    <tableColumn id="2" xr3:uid="{5E314FAB-7916-4DEA-884E-E8746B662F7D}" name="AMOUNT" dataDxfId="3"/>
    <tableColumn id="3" xr3:uid="{723B5383-D7B6-4863-9A0D-02EF12652668}" name="DESCRIPTION" dataDxfId="2"/>
    <tableColumn id="4" xr3:uid="{53AD75DB-C75D-4F45-AB63-A87FB23E7E10}" name="INSTITUTION" dataDxfId="1"/>
    <tableColumn id="5" xr3:uid="{FD703098-909F-491E-8C44-837680E5CF83}" name="CATEGORY" dataDxfId="0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F38" sqref="F38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51" t="s">
        <v>20</v>
      </c>
      <c r="C1" s="52"/>
    </row>
    <row r="2" spans="2:15" s="22" customFormat="1" ht="14.45" customHeight="1" x14ac:dyDescent="0.2">
      <c r="B2" s="52"/>
      <c r="C2" s="52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3" t="s">
        <v>21</v>
      </c>
      <c r="E5" s="53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4" t="str">
        <f>"Breakdown - "&amp;F5&amp;" "&amp;current_year</f>
        <v>Breakdown - November 2023</v>
      </c>
      <c r="C7" s="54"/>
      <c r="D7" s="54"/>
      <c r="E7" s="54"/>
      <c r="F7" s="54"/>
      <c r="G7" s="54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0" t="str">
        <f>INDEX(Income,1)</f>
        <v>Employment</v>
      </c>
      <c r="C10" s="41">
        <f>ABS(SUMIFS('Income and Expenses'!$C$5:$C$1048576,'Income and Expenses'!$F5:$F$1048576,'Budget Dashboard'!B10))</f>
        <v>2700.4300000000003</v>
      </c>
      <c r="D10" s="42">
        <v>6000</v>
      </c>
      <c r="E10" s="43">
        <f>C10/D10</f>
        <v>0.4500716666666667</v>
      </c>
      <c r="F10" s="42">
        <f>IF(D10-C10&gt;0,D10-C10,"-")</f>
        <v>3299.5699999999997</v>
      </c>
      <c r="G10" s="4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0" t="str">
        <f>INDEX(Income,2)</f>
        <v>HSA</v>
      </c>
      <c r="C11" s="45">
        <f>ABS(SUMIFS('Income and Expenses'!$C$5:$C$1048576,'Income and Expenses'!$F5:$F$1048576,'Budget Dashboard'!B11))</f>
        <v>999.99</v>
      </c>
      <c r="D11" s="34">
        <v>6000</v>
      </c>
      <c r="E11" s="46">
        <f>C11/D11</f>
        <v>0.16666500000000001</v>
      </c>
      <c r="F11" s="34">
        <f>IF(D11-C11&gt;0,D11-C11,"-")</f>
        <v>5000.01</v>
      </c>
      <c r="G11" s="47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>SUM(C10:C11)</f>
        <v>3700.42</v>
      </c>
      <c r="D12" s="18">
        <f>SUM(D11)</f>
        <v>6000</v>
      </c>
      <c r="E12" s="20">
        <f>C12/D12</f>
        <v>0.61673666666666671</v>
      </c>
      <c r="F12" s="18">
        <f>IF(D12-C12&gt;0,D12-C12,"-")</f>
        <v>2299.58</v>
      </c>
      <c r="G12" s="17" t="str">
        <f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>ABS(SUMIFS('Income and Expenses'!$C$5:$C$1048576,'Income and Expenses'!$F$5:$F$1048576,'Budget Dashboard'!B15))</f>
        <v>66.97</v>
      </c>
      <c r="D15" s="30">
        <v>200</v>
      </c>
      <c r="E15" s="31">
        <f t="shared" ref="E15:E20" si="0">C15/D15</f>
        <v>0.33484999999999998</v>
      </c>
      <c r="F15" s="33">
        <f t="shared" ref="F15:F20" si="1">IF(D15-C15&gt;0,D15-C15,"-")</f>
        <v>133.03</v>
      </c>
      <c r="G15" s="32" t="str">
        <f t="shared" ref="G15:G20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>ABS(SUMIFS('Income and Expenses'!$C$5:$C$1048576,'Income and Expenses'!$F$5:$F$1048576,'Budget Dashboard'!B16))</f>
        <v>45</v>
      </c>
      <c r="D16" s="30">
        <v>200</v>
      </c>
      <c r="E16" s="31">
        <f t="shared" si="0"/>
        <v>0.22500000000000001</v>
      </c>
      <c r="F16" s="33">
        <f t="shared" si="1"/>
        <v>155</v>
      </c>
      <c r="G16" s="32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>ABS(SUMIFS('Income and Expenses'!$C$5:$C$1048576,'Income and Expenses'!$F$5:$F$1048576,'Budget Dashboard'!B17))</f>
        <v>332.45</v>
      </c>
      <c r="D17" s="30">
        <v>500</v>
      </c>
      <c r="E17" s="31">
        <f t="shared" si="0"/>
        <v>0.66489999999999994</v>
      </c>
      <c r="F17" s="33">
        <f t="shared" si="1"/>
        <v>167.55</v>
      </c>
      <c r="G17" s="32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>ABS(SUMIFS('Income and Expenses'!$C$5:$C$1048576,'Income and Expenses'!$F$5:$F$1048576,'Budget Dashboard'!B18))</f>
        <v>0</v>
      </c>
      <c r="D18" s="30">
        <v>250</v>
      </c>
      <c r="E18" s="31">
        <f t="shared" si="0"/>
        <v>0</v>
      </c>
      <c r="F18" s="33">
        <f t="shared" si="1"/>
        <v>250</v>
      </c>
      <c r="G18" s="32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>ABS(SUMIFS('Income and Expenses'!$C$5:$C$1048576,'Income and Expenses'!$F$5:$F$1048576,'Budget Dashboard'!B19))</f>
        <v>60</v>
      </c>
      <c r="D19" s="30">
        <v>200</v>
      </c>
      <c r="E19" s="31">
        <f t="shared" si="0"/>
        <v>0.3</v>
      </c>
      <c r="F19" s="33">
        <f t="shared" si="1"/>
        <v>140</v>
      </c>
      <c r="G19" s="32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>ABS(SUMIFS('Income and Expenses'!$C$5:$C$1048576,'Income and Expenses'!$F$5:$F$1048576,'Budget Dashboard'!B20))</f>
        <v>62.69</v>
      </c>
      <c r="D20" s="30">
        <v>450</v>
      </c>
      <c r="E20" s="31">
        <f t="shared" si="0"/>
        <v>0.13931111111111111</v>
      </c>
      <c r="F20" s="33">
        <f t="shared" si="1"/>
        <v>387.31</v>
      </c>
      <c r="G20" s="32" t="str">
        <f t="shared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>ABS(SUMIFS('Income and Expenses'!$C$5:$C$1048576,'Income and Expenses'!$F$5:$F$1048576,'Budget Dashboard'!B21))</f>
        <v>174.88</v>
      </c>
      <c r="D21" s="30">
        <v>2000</v>
      </c>
      <c r="E21" s="31">
        <f>C21/D21</f>
        <v>8.7440000000000004E-2</v>
      </c>
      <c r="F21" s="33">
        <f>IF(D21-C21&gt;0,D21-C21,"-")</f>
        <v>1825.12</v>
      </c>
      <c r="G21" s="32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>ABS(SUMIFS('Income and Expenses'!$C$5:$C$1048576,'Income and Expenses'!$F$5:$F$1048576,'Budget Dashboard'!B22))</f>
        <v>60</v>
      </c>
      <c r="D22" s="30">
        <v>200</v>
      </c>
      <c r="E22" s="31">
        <f>C22/D22</f>
        <v>0.3</v>
      </c>
      <c r="F22" s="33">
        <f>IF(D22-C22&gt;0,D22-C22,"-")</f>
        <v>140</v>
      </c>
      <c r="G22" s="32" t="str">
        <f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>ABS(SUMIFS('Income and Expenses'!$C$5:$C$1048576,'Income and Expenses'!$F$5:$F$1048576,'Budget Dashboard'!B23))</f>
        <v>1000</v>
      </c>
      <c r="D23" s="30">
        <v>400</v>
      </c>
      <c r="E23" s="31">
        <f>C23/D23</f>
        <v>2.5</v>
      </c>
      <c r="F23" s="33" t="str">
        <f>IF(D23-C23&gt;0,D23-C23,"-")</f>
        <v>-</v>
      </c>
      <c r="G23" s="32">
        <f>IF(C23-D23&gt;0,C23-D23,"-")</f>
        <v>600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>ABS(SUMIFS('Income and Expenses'!$C$5:$C$1048576,'Income and Expenses'!$F$5:$F$1048576,'Budget Dashboard'!B24))</f>
        <v>51.07</v>
      </c>
      <c r="D24" s="34">
        <v>300</v>
      </c>
      <c r="E24" s="35">
        <f>C24/D24</f>
        <v>0.17023333333333335</v>
      </c>
      <c r="F24" s="37">
        <f>IF(D24-C24&gt;0,D24-C24,"-")</f>
        <v>248.93</v>
      </c>
      <c r="G24" s="36" t="str">
        <f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>SUM(C15:C24)</f>
        <v>1853.0599999999997</v>
      </c>
      <c r="D25" s="18">
        <f>SUM(D15:D24)</f>
        <v>4700</v>
      </c>
      <c r="E25" s="21">
        <f>C25/D25</f>
        <v>0.39426808510638289</v>
      </c>
      <c r="F25" s="38">
        <f>IF(D25-C25&gt;0,D25-C25,"-")</f>
        <v>2846.9400000000005</v>
      </c>
      <c r="G25" s="19" t="str">
        <f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">
      <c r="B28" s="16" t="s">
        <v>12</v>
      </c>
      <c r="C28" s="18">
        <f>C12-C25</f>
        <v>1847.3600000000004</v>
      </c>
      <c r="D28" s="18">
        <f>D12-D25</f>
        <v>1300</v>
      </c>
      <c r="E28" s="21">
        <f>C28/D28</f>
        <v>1.4210461538461541</v>
      </c>
      <c r="F28" s="38" t="str">
        <f>IF(D28-C28&gt;0,D28-C28,"-")</f>
        <v>-</v>
      </c>
      <c r="G28" s="19">
        <f>IF(C28-D28&gt;0,C28-D28,"-")</f>
        <v>547.36000000000035</v>
      </c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11" priority="4" operator="lessThan">
      <formula>$D$25</formula>
    </cfRule>
  </conditionalFormatting>
  <conditionalFormatting sqref="C25">
    <cfRule type="cellIs" dxfId="10" priority="8" operator="greaterThan">
      <formula>$D$25</formula>
    </cfRule>
  </conditionalFormatting>
  <conditionalFormatting sqref="C28">
    <cfRule type="cellIs" dxfId="9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48"/>
  <sheetViews>
    <sheetView zoomScaleNormal="100" workbookViewId="0">
      <selection activeCell="D12" sqref="D12"/>
    </sheetView>
  </sheetViews>
  <sheetFormatPr defaultRowHeight="15" x14ac:dyDescent="0.25"/>
  <cols>
    <col min="1" max="1" width="6.7109375" style="5" customWidth="1"/>
    <col min="2" max="2" width="16.28515625" style="39" customWidth="1"/>
    <col min="3" max="3" width="16.28515625" style="24" customWidth="1"/>
    <col min="4" max="4" width="119.42578125" style="24" customWidth="1"/>
    <col min="5" max="5" width="22.140625" style="24" customWidth="1"/>
    <col min="6" max="6" width="35.7109375" style="24" customWidth="1"/>
    <col min="7" max="16384" width="9.140625" style="5"/>
  </cols>
  <sheetData>
    <row r="1" spans="2:6" s="23" customFormat="1" x14ac:dyDescent="0.25">
      <c r="B1" s="55" t="s">
        <v>23</v>
      </c>
      <c r="C1" s="55"/>
    </row>
    <row r="2" spans="2:6" s="23" customFormat="1" x14ac:dyDescent="0.25">
      <c r="B2" s="55"/>
      <c r="C2" s="55"/>
    </row>
    <row r="4" spans="2:6" x14ac:dyDescent="0.25">
      <c r="B4" s="50" t="s">
        <v>25</v>
      </c>
      <c r="C4" s="50" t="s">
        <v>26</v>
      </c>
      <c r="D4" s="50" t="s">
        <v>27</v>
      </c>
      <c r="E4" s="50" t="s">
        <v>48</v>
      </c>
      <c r="F4" s="50" t="s">
        <v>28</v>
      </c>
    </row>
    <row r="5" spans="2:6" x14ac:dyDescent="0.25">
      <c r="B5" s="48">
        <v>45231</v>
      </c>
      <c r="C5" s="49">
        <v>-11.75</v>
      </c>
      <c r="D5" t="s">
        <v>29</v>
      </c>
      <c r="E5" t="s">
        <v>49</v>
      </c>
      <c r="F5" t="s">
        <v>7</v>
      </c>
    </row>
    <row r="6" spans="2:6" x14ac:dyDescent="0.25">
      <c r="B6" s="48">
        <v>45231</v>
      </c>
      <c r="C6" s="49">
        <v>-44.93</v>
      </c>
      <c r="D6" t="s">
        <v>30</v>
      </c>
      <c r="E6" t="s">
        <v>49</v>
      </c>
      <c r="F6" t="s">
        <v>3</v>
      </c>
    </row>
    <row r="7" spans="2:6" x14ac:dyDescent="0.25">
      <c r="B7" s="48">
        <v>45231</v>
      </c>
      <c r="C7" s="49">
        <v>-1000</v>
      </c>
      <c r="D7" t="s">
        <v>31</v>
      </c>
      <c r="E7" t="s">
        <v>49</v>
      </c>
      <c r="F7" t="s">
        <v>5</v>
      </c>
    </row>
    <row r="8" spans="2:6" x14ac:dyDescent="0.25">
      <c r="B8" s="48">
        <v>45232</v>
      </c>
      <c r="C8" s="49">
        <v>-66</v>
      </c>
      <c r="D8" t="s">
        <v>32</v>
      </c>
      <c r="E8" t="s">
        <v>49</v>
      </c>
      <c r="F8" t="s">
        <v>3</v>
      </c>
    </row>
    <row r="9" spans="2:6" x14ac:dyDescent="0.25">
      <c r="B9" s="48">
        <v>45238</v>
      </c>
      <c r="C9" s="49">
        <v>300</v>
      </c>
      <c r="D9" t="s">
        <v>50</v>
      </c>
      <c r="E9" t="s">
        <v>51</v>
      </c>
      <c r="F9" t="s">
        <v>56</v>
      </c>
    </row>
    <row r="10" spans="2:6" x14ac:dyDescent="0.25">
      <c r="B10" s="48">
        <v>45238</v>
      </c>
      <c r="C10" s="49">
        <v>200.01</v>
      </c>
      <c r="D10" t="s">
        <v>52</v>
      </c>
      <c r="E10" t="s">
        <v>51</v>
      </c>
      <c r="F10" t="s">
        <v>56</v>
      </c>
    </row>
    <row r="11" spans="2:6" x14ac:dyDescent="0.25">
      <c r="B11" s="48">
        <v>45238</v>
      </c>
      <c r="C11" s="49">
        <v>-158</v>
      </c>
      <c r="D11" t="s">
        <v>33</v>
      </c>
      <c r="E11" t="s">
        <v>49</v>
      </c>
      <c r="F11" t="s">
        <v>4</v>
      </c>
    </row>
    <row r="12" spans="2:6" x14ac:dyDescent="0.25">
      <c r="B12" s="48">
        <v>45239</v>
      </c>
      <c r="C12" s="49">
        <v>500</v>
      </c>
      <c r="D12" t="s">
        <v>35</v>
      </c>
      <c r="E12" t="s">
        <v>49</v>
      </c>
      <c r="F12" t="s">
        <v>57</v>
      </c>
    </row>
    <row r="13" spans="2:6" x14ac:dyDescent="0.25">
      <c r="B13" s="48">
        <v>45239</v>
      </c>
      <c r="C13" s="49">
        <v>1000</v>
      </c>
      <c r="D13" t="s">
        <v>34</v>
      </c>
      <c r="E13" t="s">
        <v>49</v>
      </c>
      <c r="F13" t="s">
        <v>57</v>
      </c>
    </row>
    <row r="14" spans="2:6" x14ac:dyDescent="0.25">
      <c r="B14" s="48">
        <v>45243</v>
      </c>
      <c r="C14" s="49">
        <v>-50.94</v>
      </c>
      <c r="D14" t="s">
        <v>36</v>
      </c>
      <c r="E14" t="s">
        <v>49</v>
      </c>
      <c r="F14" t="s">
        <v>7</v>
      </c>
    </row>
    <row r="15" spans="2:6" x14ac:dyDescent="0.25">
      <c r="B15" s="48">
        <v>45244</v>
      </c>
      <c r="C15" s="49">
        <v>-63</v>
      </c>
      <c r="D15" t="s">
        <v>38</v>
      </c>
      <c r="E15" t="s">
        <v>49</v>
      </c>
      <c r="F15" t="s">
        <v>3</v>
      </c>
    </row>
    <row r="16" spans="2:6" x14ac:dyDescent="0.25">
      <c r="B16" s="48">
        <v>45244</v>
      </c>
      <c r="C16" s="49">
        <v>-152.94999999999999</v>
      </c>
      <c r="D16" t="s">
        <v>37</v>
      </c>
      <c r="E16" t="s">
        <v>49</v>
      </c>
      <c r="F16" t="s">
        <v>4</v>
      </c>
    </row>
    <row r="17" spans="2:6" x14ac:dyDescent="0.25">
      <c r="B17" s="48">
        <v>45250</v>
      </c>
      <c r="C17" s="49">
        <v>-60</v>
      </c>
      <c r="D17" t="s">
        <v>39</v>
      </c>
      <c r="E17" t="s">
        <v>49</v>
      </c>
      <c r="F17" t="s">
        <v>40</v>
      </c>
    </row>
    <row r="18" spans="2:6" x14ac:dyDescent="0.25">
      <c r="B18" s="48">
        <v>45252</v>
      </c>
      <c r="C18" s="49">
        <v>1000</v>
      </c>
      <c r="D18" t="s">
        <v>34</v>
      </c>
      <c r="E18" t="s">
        <v>49</v>
      </c>
      <c r="F18" t="s">
        <v>57</v>
      </c>
    </row>
    <row r="19" spans="2:6" x14ac:dyDescent="0.25">
      <c r="B19" s="48">
        <v>45252</v>
      </c>
      <c r="C19" s="49">
        <v>-51.07</v>
      </c>
      <c r="D19" t="s">
        <v>41</v>
      </c>
      <c r="E19" t="s">
        <v>49</v>
      </c>
      <c r="F19" t="s">
        <v>6</v>
      </c>
    </row>
    <row r="20" spans="2:6" x14ac:dyDescent="0.25">
      <c r="B20" s="48">
        <v>45252</v>
      </c>
      <c r="C20" s="49">
        <v>199.98</v>
      </c>
      <c r="D20" t="s">
        <v>52</v>
      </c>
      <c r="E20" t="s">
        <v>51</v>
      </c>
      <c r="F20" t="s">
        <v>56</v>
      </c>
    </row>
    <row r="21" spans="2:6" x14ac:dyDescent="0.25">
      <c r="B21" s="48">
        <v>45252</v>
      </c>
      <c r="C21" s="49">
        <v>300</v>
      </c>
      <c r="D21" t="s">
        <v>50</v>
      </c>
      <c r="E21" t="s">
        <v>51</v>
      </c>
      <c r="F21" t="s">
        <v>56</v>
      </c>
    </row>
    <row r="22" spans="2:6" x14ac:dyDescent="0.25">
      <c r="B22" s="48">
        <v>45254</v>
      </c>
      <c r="C22" s="49">
        <v>200</v>
      </c>
      <c r="D22" t="s">
        <v>44</v>
      </c>
      <c r="E22" t="s">
        <v>49</v>
      </c>
      <c r="F22" t="s">
        <v>57</v>
      </c>
    </row>
    <row r="23" spans="2:6" x14ac:dyDescent="0.25">
      <c r="B23" s="48">
        <v>45254</v>
      </c>
      <c r="C23" s="49">
        <v>-500</v>
      </c>
      <c r="D23" t="s">
        <v>42</v>
      </c>
      <c r="E23" t="s">
        <v>49</v>
      </c>
      <c r="F23" t="s">
        <v>9</v>
      </c>
    </row>
    <row r="24" spans="2:6" x14ac:dyDescent="0.25">
      <c r="B24" s="48">
        <v>45254</v>
      </c>
      <c r="C24" s="49">
        <v>-45</v>
      </c>
      <c r="D24" t="s">
        <v>43</v>
      </c>
      <c r="E24" t="s">
        <v>49</v>
      </c>
      <c r="F24" t="s">
        <v>8</v>
      </c>
    </row>
    <row r="25" spans="2:6" x14ac:dyDescent="0.25">
      <c r="B25" s="48">
        <v>45260</v>
      </c>
      <c r="C25" s="49">
        <v>-66.97</v>
      </c>
      <c r="D25" t="s">
        <v>47</v>
      </c>
      <c r="E25" t="s">
        <v>49</v>
      </c>
      <c r="F25" t="s">
        <v>11</v>
      </c>
    </row>
    <row r="26" spans="2:6" x14ac:dyDescent="0.25">
      <c r="B26" s="48">
        <v>45260</v>
      </c>
      <c r="C26" s="49">
        <v>-21.5</v>
      </c>
      <c r="D26" t="s">
        <v>46</v>
      </c>
      <c r="E26" t="s">
        <v>49</v>
      </c>
      <c r="F26" t="s">
        <v>4</v>
      </c>
    </row>
    <row r="27" spans="2:6" x14ac:dyDescent="0.25">
      <c r="B27" s="48">
        <v>45260</v>
      </c>
      <c r="C27" s="49">
        <v>-0.95</v>
      </c>
      <c r="D27" t="s">
        <v>53</v>
      </c>
      <c r="E27" t="s">
        <v>51</v>
      </c>
      <c r="F27" t="s">
        <v>3</v>
      </c>
    </row>
    <row r="28" spans="2:6" x14ac:dyDescent="0.25">
      <c r="B28" s="48">
        <v>45260</v>
      </c>
      <c r="C28" s="49">
        <v>0.42</v>
      </c>
      <c r="D28" t="s">
        <v>45</v>
      </c>
      <c r="E28" t="s">
        <v>49</v>
      </c>
      <c r="F28" t="s">
        <v>57</v>
      </c>
    </row>
    <row r="29" spans="2:6" x14ac:dyDescent="0.25">
      <c r="B29" s="48">
        <v>45260</v>
      </c>
      <c r="C29" s="49">
        <v>0.01</v>
      </c>
      <c r="D29" t="s">
        <v>54</v>
      </c>
      <c r="E29" t="s">
        <v>51</v>
      </c>
      <c r="F29" t="s">
        <v>57</v>
      </c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24"/>
    </row>
    <row r="35" spans="2:2" x14ac:dyDescent="0.25">
      <c r="B35" s="24"/>
    </row>
    <row r="36" spans="2:2" x14ac:dyDescent="0.25">
      <c r="B36" s="24"/>
    </row>
    <row r="37" spans="2:2" x14ac:dyDescent="0.25">
      <c r="B37" s="24"/>
    </row>
    <row r="38" spans="2:2" x14ac:dyDescent="0.25">
      <c r="B38" s="24"/>
    </row>
    <row r="39" spans="2:2" x14ac:dyDescent="0.25">
      <c r="B39" s="24"/>
    </row>
    <row r="40" spans="2:2" x14ac:dyDescent="0.25">
      <c r="B40" s="24"/>
    </row>
    <row r="41" spans="2:2" x14ac:dyDescent="0.25">
      <c r="B41" s="24"/>
    </row>
    <row r="42" spans="2:2" x14ac:dyDescent="0.25">
      <c r="B42" s="24"/>
    </row>
    <row r="43" spans="2:2" x14ac:dyDescent="0.25">
      <c r="B43" s="24"/>
    </row>
    <row r="44" spans="2:2" x14ac:dyDescent="0.25">
      <c r="B44" s="24"/>
    </row>
    <row r="45" spans="2:2" x14ac:dyDescent="0.25">
      <c r="B45" s="24"/>
    </row>
    <row r="46" spans="2:2" x14ac:dyDescent="0.25">
      <c r="B46" s="24"/>
    </row>
    <row r="47" spans="2:2" x14ac:dyDescent="0.25">
      <c r="B47" s="24"/>
    </row>
    <row r="48" spans="2:2" x14ac:dyDescent="0.25">
      <c r="B48" s="24"/>
    </row>
  </sheetData>
  <mergeCells count="1">
    <mergeCell ref="B1:C2"/>
  </mergeCells>
  <conditionalFormatting sqref="C5:C29">
    <cfRule type="cellIs" dxfId="8" priority="1" stopIfTrue="1" operator="greaterThanOrEqual">
      <formula>0</formula>
    </cfRule>
    <cfRule type="cellIs" dxfId="7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6"/>
  <dimension ref="A1:B11"/>
  <sheetViews>
    <sheetView workbookViewId="0">
      <selection activeCell="F22" sqref="F22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57</v>
      </c>
    </row>
    <row r="3" spans="1:2" x14ac:dyDescent="0.25">
      <c r="A3" t="s">
        <v>8</v>
      </c>
      <c r="B3" t="s">
        <v>56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40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6" t="s">
        <v>24</v>
      </c>
      <c r="C1" s="56"/>
      <c r="D1" s="56"/>
      <c r="E1" s="56"/>
    </row>
    <row r="2" spans="2:5" s="23" customFormat="1" ht="15" customHeight="1" x14ac:dyDescent="0.25">
      <c r="B2" s="56"/>
      <c r="C2" s="56"/>
      <c r="D2" s="56"/>
      <c r="E2" s="56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Transaction Categories</vt:lpstr>
      <vt:lpstr>Calculations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2024-07-11T06:20:33Z</dcterms:modified>
</cp:coreProperties>
</file>